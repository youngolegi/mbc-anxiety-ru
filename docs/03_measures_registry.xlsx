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" sheetId="1" state="visible" r:id="rId3"/>
    <sheet name="Калькулятор RCI" sheetId="2" state="visible" r:id="rId4"/>
    <sheet name="Легенда и источники" sheetId="3" state="visible" r:id="rId5"/>
  </sheets>
  <definedNames>
    <definedName function="false" hidden="true" localSheetId="0" name="_xlnm._FilterDatabase" vbProcedure="false">Реестр!$A$4:$O$55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<sst xmlns="http://schemas.openxmlformats.org/spreadsheetml/2006/main" count="784" uniqueCount="447">
  <si>
    <t xml:space="preserve">Реестр методик для MBC-продукта по тревоге (русские и западные)</t>
  </si>
  <si>
    <t xml:space="preserve">«Проверить» = при поиске не найдена опубликованная русскоязычная валидизация. Это не значит, что её нет — это задача на проверку. Пороги приведены только там, где они подтверждены источником; остальные — сверять с первоисточником.</t>
  </si>
  <si>
    <t xml:space="preserve">№</t>
  </si>
  <si>
    <t xml:space="preserve">Слой</t>
  </si>
  <si>
    <t xml:space="preserve">Методика</t>
  </si>
  <si>
    <t xml:space="preserve">Аббр.</t>
  </si>
  <si>
    <t xml:space="preserve">Оригинал (авторы, год)</t>
  </si>
  <si>
    <t xml:space="preserve">Что измеряет</t>
  </si>
  <si>
    <t xml:space="preserve">Пунктов</t>
  </si>
  <si>
    <t xml:space="preserve">Кто заполняет</t>
  </si>
  <si>
    <t xml:space="preserve">Частота в MBC</t>
  </si>
  <si>
    <t xml:space="preserve">Пороги / надёжное изменение</t>
  </si>
  <si>
    <t xml:space="preserve">Русская версия</t>
  </si>
  <si>
    <t xml:space="preserve">Статус рус. версии</t>
  </si>
  <si>
    <t xml:space="preserve">Доступ</t>
  </si>
  <si>
    <t xml:space="preserve">Рекомендация</t>
  </si>
  <si>
    <t xml:space="preserve">Комментарий</t>
  </si>
  <si>
    <t xml:space="preserve">Ядро: симптомы</t>
  </si>
  <si>
    <t xml:space="preserve">Шкала генерализованного тревожного расстройства</t>
  </si>
  <si>
    <t xml:space="preserve">GAD-7</t>
  </si>
  <si>
    <t xml:space="preserve">Spitzer, Kroenke, Williams, Löwe, 2006</t>
  </si>
  <si>
    <t xml:space="preserve">Тяжесть тревоги за 2 недели</t>
  </si>
  <si>
    <t xml:space="preserve">7</t>
  </si>
  <si>
    <t xml:space="preserve">Клиент</t>
  </si>
  <si>
    <t xml:space="preserve">Каждая сессия</t>
  </si>
  <si>
    <t xml:space="preserve">5/10/15 — лёгкая/умеренная/тяжёлая; порог 10: чувствительность 0,89, специфичность 0,82 (для ГТР). NHS: «случай» ≥8, надёжное изменение ≥4</t>
  </si>
  <si>
    <t xml:space="preserve">Золотарева А.А., 2023, Консультативная психология и психотерапия 31(4):31–46; α = 0,93. Включена в КР МЗ РФ «ГТР» 2024 (прил. Г2)</t>
  </si>
  <si>
    <t xml:space="preserve">Подтверждено</t>
  </si>
  <si>
    <t xml:space="preserve">Свободное</t>
  </si>
  <si>
    <t xml:space="preserve">Ядро</t>
  </si>
  <si>
    <t xml:space="preserve">Пересчитать порог RCI по SD и надёжности русской выборки, а не брать британский вслепую</t>
  </si>
  <si>
    <t xml:space="preserve">Шкала ГТР, 2 пункта</t>
  </si>
  <si>
    <t xml:space="preserve">GAD-2</t>
  </si>
  <si>
    <t xml:space="preserve">Kroenke et al., 2007</t>
  </si>
  <si>
    <t xml:space="preserve">Экспресс-скрининг (первые 2 пункта GAD-7)</t>
  </si>
  <si>
    <t xml:space="preserve">2</t>
  </si>
  <si>
    <t xml:space="preserve">Микрозамеры между сессиями</t>
  </si>
  <si>
    <t xml:space="preserve">Порог — сверить с первоисточником</t>
  </si>
  <si>
    <t xml:space="preserve">Входит в русскую GAD-7</t>
  </si>
  <si>
    <t xml:space="preserve">Как часть GAD-7; отдельная валидизация — проверить</t>
  </si>
  <si>
    <t xml:space="preserve">Дополнительно</t>
  </si>
  <si>
    <t xml:space="preserve">Для частых микрозамеров. Надёжность 2 пунктов ниже — не использовать для RCI</t>
  </si>
  <si>
    <t xml:space="preserve">Опросник здоровья пациента-9</t>
  </si>
  <si>
    <t xml:space="preserve">PHQ-9</t>
  </si>
  <si>
    <t xml:space="preserve">Kroenke, Spitzer, Williams, 2001</t>
  </si>
  <si>
    <t xml:space="preserve">Депрессия (коморбидность с тревогой)</t>
  </si>
  <si>
    <t xml:space="preserve">9</t>
  </si>
  <si>
    <t xml:space="preserve">NHS: «случай» ≥10, надёжное изменение ≥6</t>
  </si>
  <si>
    <t xml:space="preserve">Русская версия используется (в т.ч. при валидизации GAD-7); конкретную адаптацию выбрать</t>
  </si>
  <si>
    <t xml:space="preserve">Используется, адаптацию проверить</t>
  </si>
  <si>
    <t xml:space="preserve">Пункт 9 (мысли о смерти/самоповреждении) → обязательный протокол реагирования</t>
  </si>
  <si>
    <t xml:space="preserve">Опросник здоровья пациента-8</t>
  </si>
  <si>
    <t xml:space="preserve">PHQ-8</t>
  </si>
  <si>
    <t xml:space="preserve">Kroenke et al., 2009</t>
  </si>
  <si>
    <t xml:space="preserve">Депрессия без пункта о суицидальных мыслях</t>
  </si>
  <si>
    <t xml:space="preserve">8</t>
  </si>
  <si>
    <t xml:space="preserve">Сверить с первоисточником</t>
  </si>
  <si>
    <t xml:space="preserve">—</t>
  </si>
  <si>
    <t xml:space="preserve">Проверить</t>
  </si>
  <si>
    <t xml:space="preserve">Ядро (если нет протокола безопасности)</t>
  </si>
  <si>
    <t xml:space="preserve">Используется там, где нельзя гарантировать реакцию на пункт 9 PHQ-9</t>
  </si>
  <si>
    <t xml:space="preserve">Шкала общей тяжести тревоги и нарушений</t>
  </si>
  <si>
    <t xml:space="preserve">OASIS</t>
  </si>
  <si>
    <t xml:space="preserve">Norman et al., 2006</t>
  </si>
  <si>
    <t xml:space="preserve">Тяжесть, частота, избегание и нарушение функций — трансдиагностически</t>
  </si>
  <si>
    <t xml:space="preserve">5</t>
  </si>
  <si>
    <t xml:space="preserve">Не найдена</t>
  </si>
  <si>
    <t xml:space="preserve">Свободное (проверить)</t>
  </si>
  <si>
    <t xml:space="preserve">Ядро / кандидат на собственную адаптацию</t>
  </si>
  <si>
    <t xml:space="preserve">Ловит избегание — главную мишень КПТ</t>
  </si>
  <si>
    <t xml:space="preserve">Шкала депрессии, тревоги и стресса</t>
  </si>
  <si>
    <t xml:space="preserve">DASS-21</t>
  </si>
  <si>
    <t xml:space="preserve">Lovibond &amp; Lovibond, 1995</t>
  </si>
  <si>
    <t xml:space="preserve">Депрессия, тревога, стресс</t>
  </si>
  <si>
    <t xml:space="preserve">21</t>
  </si>
  <si>
    <t xml:space="preserve">Раз в 2–4 сессии</t>
  </si>
  <si>
    <t xml:space="preserve">Золотарева А.А., 2021; систематический обзор психометрики — Обозрение психиатрии и мед. психологии им. Бехтерева</t>
  </si>
  <si>
    <t xml:space="preserve">Подшкала тревоги нагружена телесными симптомами</t>
  </si>
  <si>
    <t xml:space="preserve">Шкала тревоги Бека</t>
  </si>
  <si>
    <t xml:space="preserve">BAI</t>
  </si>
  <si>
    <t xml:space="preserve">Beck et al., 1988</t>
  </si>
  <si>
    <t xml:space="preserve">Тревога, преимущественно телесные симптомы</t>
  </si>
  <si>
    <t xml:space="preserve">Русские версии распространены</t>
  </si>
  <si>
    <t xml:space="preserve">Лицензия — проверить</t>
  </si>
  <si>
    <t xml:space="preserve">Перекрывается с симптомами соматических болезней</t>
  </si>
  <si>
    <t xml:space="preserve">Госпитальная шкала тревоги и депрессии</t>
  </si>
  <si>
    <t xml:space="preserve">HADS</t>
  </si>
  <si>
    <t xml:space="preserve">Zigmond &amp; Snaith, 1983</t>
  </si>
  <si>
    <t xml:space="preserve">Тревога и депрессия у соматических пациентов</t>
  </si>
  <si>
    <t xml:space="preserve">14</t>
  </si>
  <si>
    <t xml:space="preserve">Широко используется в РФ</t>
  </si>
  <si>
    <t xml:space="preserve">По формулировке случая</t>
  </si>
  <si>
    <t xml:space="preserve">Для клиентов с хроническими болезнями</t>
  </si>
  <si>
    <t xml:space="preserve">Шкала воспринимаемого стресса</t>
  </si>
  <si>
    <t xml:space="preserve">PSS-4/10/14</t>
  </si>
  <si>
    <t xml:space="preserve">Cohen et al., 1983</t>
  </si>
  <si>
    <t xml:space="preserve">Воспринимаемый стресс</t>
  </si>
  <si>
    <t xml:space="preserve">4/10/14</t>
  </si>
  <si>
    <t xml:space="preserve">Раз в 4 сессии</t>
  </si>
  <si>
    <t xml:space="preserve">Золотарева А.А., 2023, Клиническая и специальная психология 12(1):18–42</t>
  </si>
  <si>
    <t xml:space="preserve">Контекст</t>
  </si>
  <si>
    <t xml:space="preserve">Стресс ≠ тревога: не подменять ею основной исход</t>
  </si>
  <si>
    <t xml:space="preserve">Оценка терапевта</t>
  </si>
  <si>
    <t xml:space="preserve">Шкала общего клинического впечатления: тяжесть / улучшение</t>
  </si>
  <si>
    <t xml:space="preserve">CGI-S / CGI-I</t>
  </si>
  <si>
    <t xml:space="preserve">Guy, 1976</t>
  </si>
  <si>
    <t xml:space="preserve">Оценка терапевтом тяжести и улучшения</t>
  </si>
  <si>
    <t xml:space="preserve">1 + 1</t>
  </si>
  <si>
    <t xml:space="preserve">Терапевт</t>
  </si>
  <si>
    <t xml:space="preserve">Шкала 1–7</t>
  </si>
  <si>
    <t xml:space="preserve">Ядро (слой терапевта)</t>
  </si>
  <si>
    <t xml:space="preserve">10 секунд после сессии — минимальная оценка терапевта для сопоставления с самоотчётом</t>
  </si>
  <si>
    <t xml:space="preserve">Шкала тревоги Гамильтона</t>
  </si>
  <si>
    <t xml:space="preserve">HAM-A</t>
  </si>
  <si>
    <t xml:space="preserve">Hamilton, 1959</t>
  </si>
  <si>
    <t xml:space="preserve">Клиническая оценка тяжести тревоги (интервью)</t>
  </si>
  <si>
    <t xml:space="preserve">Старт / середина / финал</t>
  </si>
  <si>
    <t xml:space="preserve">Используется в российской клинической практике</t>
  </si>
  <si>
    <t xml:space="preserve">Требует обучения оценщика</t>
  </si>
  <si>
    <t xml:space="preserve">Шкала Йеля–Брауна</t>
  </si>
  <si>
    <t xml:space="preserve">Y-BOCS</t>
  </si>
  <si>
    <t xml:space="preserve">Goodman et al., 1989</t>
  </si>
  <si>
    <t xml:space="preserve">Тяжесть ОКР (оценка клинициста)</t>
  </si>
  <si>
    <t xml:space="preserve">10</t>
  </si>
  <si>
    <t xml:space="preserve">По формулировке случая (ОКР)</t>
  </si>
  <si>
    <t xml:space="preserve">Специфические</t>
  </si>
  <si>
    <t xml:space="preserve">Пенсильванский опросник беспокойства</t>
  </si>
  <si>
    <t xml:space="preserve">PSWQ</t>
  </si>
  <si>
    <t xml:space="preserve">Meyer et al., 1990</t>
  </si>
  <si>
    <t xml:space="preserve">Патологическое беспокойство (ГТР)</t>
  </si>
  <si>
    <t xml:space="preserve">16</t>
  </si>
  <si>
    <t xml:space="preserve">По формулировке случая (ГТР)</t>
  </si>
  <si>
    <t xml:space="preserve">PSWQ — версия «за прошедшую неделю»</t>
  </si>
  <si>
    <t xml:space="preserve">PSWQ-PW</t>
  </si>
  <si>
    <t xml:space="preserve">Stöber &amp; Bittencourt, 1998</t>
  </si>
  <si>
    <t xml:space="preserve">Беспокойство за неделю; задумана как более чувствительная к изменениям</t>
  </si>
  <si>
    <t xml:space="preserve">15</t>
  </si>
  <si>
    <t xml:space="preserve">Кандидат на адаптацию</t>
  </si>
  <si>
    <t xml:space="preserve">Проверить первоисточник</t>
  </si>
  <si>
    <t xml:space="preserve">Шкала тяжести панического расстройства</t>
  </si>
  <si>
    <t xml:space="preserve">PDSS-SR</t>
  </si>
  <si>
    <t xml:space="preserve">Shear et al., 1997; самоотчёт — Houck et al., 2002</t>
  </si>
  <si>
    <t xml:space="preserve">Паника, агорафобическое избегание</t>
  </si>
  <si>
    <t xml:space="preserve">Каждая сессия (при панике)</t>
  </si>
  <si>
    <t xml:space="preserve">По формулировке случая (паника)</t>
  </si>
  <si>
    <t xml:space="preserve">Опросник социальной фобии</t>
  </si>
  <si>
    <t xml:space="preserve">SPIN</t>
  </si>
  <si>
    <t xml:space="preserve">Connor et al., 2000</t>
  </si>
  <si>
    <t xml:space="preserve">Социальная тревога</t>
  </si>
  <si>
    <t xml:space="preserve">17</t>
  </si>
  <si>
    <t xml:space="preserve">Раз в 2 сессии</t>
  </si>
  <si>
    <t xml:space="preserve">По формулировке случая (соц. тревога)</t>
  </si>
  <si>
    <t xml:space="preserve">Опросник социальной фобии, краткий</t>
  </si>
  <si>
    <t xml:space="preserve">Mini-SPIN</t>
  </si>
  <si>
    <t xml:space="preserve">Connor et al., 2001</t>
  </si>
  <si>
    <t xml:space="preserve">Экспресс-скрининг социальной тревоги</t>
  </si>
  <si>
    <t xml:space="preserve">3</t>
  </si>
  <si>
    <t xml:space="preserve">Скрининг / микрозамеры</t>
  </si>
  <si>
    <t xml:space="preserve">Шкала социальной тревоги Либовица (самоотчёт)</t>
  </si>
  <si>
    <t xml:space="preserve">LSAS-SR</t>
  </si>
  <si>
    <t xml:space="preserve">Liebowitz, 1987</t>
  </si>
  <si>
    <t xml:space="preserve">Страх и избегание в социальных ситуациях</t>
  </si>
  <si>
    <t xml:space="preserve">24</t>
  </si>
  <si>
    <t xml:space="preserve">Используется в РФ</t>
  </si>
  <si>
    <t xml:space="preserve">Обсессивно-компульсивный опросник, пересмотренный</t>
  </si>
  <si>
    <t xml:space="preserve">OCI-R</t>
  </si>
  <si>
    <t xml:space="preserve">Foa et al., 2002</t>
  </si>
  <si>
    <t xml:space="preserve">Симптомы ОКР, 6 подшкал</t>
  </si>
  <si>
    <t xml:space="preserve">18</t>
  </si>
  <si>
    <t xml:space="preserve">Предпочтительнее MOCI по современности</t>
  </si>
  <si>
    <t xml:space="preserve">Опросник обсессивно-компульсивной симптоматики Модсли</t>
  </si>
  <si>
    <t xml:space="preserve">MOCI</t>
  </si>
  <si>
    <t xml:space="preserve">Hodgson &amp; Rachman, 1977</t>
  </si>
  <si>
    <t xml:space="preserve">Симптомы ОКР</t>
  </si>
  <si>
    <t xml:space="preserve">30</t>
  </si>
  <si>
    <t xml:space="preserve">Старт / финал</t>
  </si>
  <si>
    <t xml:space="preserve">Карпов и др., 2022, Консультативная психология и психотерапия 30(3):21–41</t>
  </si>
  <si>
    <t xml:space="preserve">Подтверждено (первичная валидизация)</t>
  </si>
  <si>
    <t xml:space="preserve">Условно</t>
  </si>
  <si>
    <t xml:space="preserve">Старше OCI-R; полезна, пока нет русской OCI-R</t>
  </si>
  <si>
    <t xml:space="preserve">Чек-лист ПТСР для DSM-5</t>
  </si>
  <si>
    <t xml:space="preserve">PCL-5</t>
  </si>
  <si>
    <t xml:space="preserve">Weathers et al., 2013</t>
  </si>
  <si>
    <t xml:space="preserve">Симптомы ПТСР</t>
  </si>
  <si>
    <t xml:space="preserve">20</t>
  </si>
  <si>
    <t xml:space="preserve">Используется в российских исследованиях</t>
  </si>
  <si>
    <t xml:space="preserve">По формулировке случая (ПТСР)</t>
  </si>
  <si>
    <t xml:space="preserve">Без анамнеза травматического события не интерпретируется</t>
  </si>
  <si>
    <t xml:space="preserve">Международный опросник травмы</t>
  </si>
  <si>
    <t xml:space="preserve">ITQ</t>
  </si>
  <si>
    <t xml:space="preserve">Cloitre et al., 2018</t>
  </si>
  <si>
    <t xml:space="preserve">ПТСР и комплексное ПТСР по МКБ-11</t>
  </si>
  <si>
    <t xml:space="preserve">Используется в русскоязычных исследованиях (напр., Шмарина, Чернов, Костюк)</t>
  </si>
  <si>
    <t xml:space="preserve">По формулировке случая (ПТСР / КПТСР)</t>
  </si>
  <si>
    <t xml:space="preserve">Шкала симптомов ПТСР, самоотчёт</t>
  </si>
  <si>
    <t xml:space="preserve">PSS-SR</t>
  </si>
  <si>
    <t xml:space="preserve">Foa et al., 1993</t>
  </si>
  <si>
    <t xml:space="preserve">Симптомы ПТСР (критерии DSM-IV)</t>
  </si>
  <si>
    <t xml:space="preserve">Золотарева А.А. (ВШЭ)</t>
  </si>
  <si>
    <t xml:space="preserve">Основана на устаревших критериях DSM-IV</t>
  </si>
  <si>
    <t xml:space="preserve">Шкала оценки влияния травматического события</t>
  </si>
  <si>
    <t xml:space="preserve">IES-R</t>
  </si>
  <si>
    <t xml:space="preserve">Weiss &amp; Marmar, 1997</t>
  </si>
  <si>
    <t xml:space="preserve">Вторжения, избегание, гипервозбуждение</t>
  </si>
  <si>
    <t xml:space="preserve">22</t>
  </si>
  <si>
    <t xml:space="preserve">Русская версия связана с работами Тарабриной Н.В. — проверить</t>
  </si>
  <si>
    <t xml:space="preserve">Краткий опросник тревоги о здоровье</t>
  </si>
  <si>
    <t xml:space="preserve">SHAI</t>
  </si>
  <si>
    <t xml:space="preserve">Salkovskis et al., 2002</t>
  </si>
  <si>
    <t xml:space="preserve">Тревога о здоровье</t>
  </si>
  <si>
    <t xml:space="preserve">Адаптация на детской выборке (тезисы «Ломоносов-2020»); взрослая — проверить</t>
  </si>
  <si>
    <t xml:space="preserve">Частично</t>
  </si>
  <si>
    <t xml:space="preserve">Релевантна «гуглению симптомов»</t>
  </si>
  <si>
    <t xml:space="preserve">Опросник страхов</t>
  </si>
  <si>
    <t xml:space="preserve">FQ</t>
  </si>
  <si>
    <t xml:space="preserve">Marks &amp; Mathews, 1979</t>
  </si>
  <si>
    <t xml:space="preserve">Фобическое избегание</t>
  </si>
  <si>
    <t xml:space="preserve">15+</t>
  </si>
  <si>
    <t xml:space="preserve">По формулировке случая (фобии)</t>
  </si>
  <si>
    <t xml:space="preserve">В NHS Talking Therapies используется шкала фобий</t>
  </si>
  <si>
    <t xml:space="preserve">Механизмы</t>
  </si>
  <si>
    <t xml:space="preserve">Шкала нетерпимости к неопределённости, краткая</t>
  </si>
  <si>
    <t xml:space="preserve">IUS-12</t>
  </si>
  <si>
    <t xml:space="preserve">Carleton, Norton, Asmundson, 2007</t>
  </si>
  <si>
    <t xml:space="preserve">Нетерпимость к неопределённости</t>
  </si>
  <si>
    <t xml:space="preserve">12</t>
  </si>
  <si>
    <t xml:space="preserve">Механизм</t>
  </si>
  <si>
    <t xml:space="preserve">Трансдиагностический механизм тревоги</t>
  </si>
  <si>
    <t xml:space="preserve">Индекс тревожной чувствительности-3</t>
  </si>
  <si>
    <t xml:space="preserve">ASI-3</t>
  </si>
  <si>
    <t xml:space="preserve">Taylor et al., 2007</t>
  </si>
  <si>
    <t xml:space="preserve">Страх телесных ощущений тревоги</t>
  </si>
  <si>
    <t xml:space="preserve">Механизм (паника)</t>
  </si>
  <si>
    <t xml:space="preserve">Опросник метакогниций</t>
  </si>
  <si>
    <t xml:space="preserve">MCQ-30</t>
  </si>
  <si>
    <t xml:space="preserve">Wells &amp; Cartwright-Hatton, 2004</t>
  </si>
  <si>
    <t xml:space="preserve">Убеждения о беспокойстве («беспокойство меня защищает»)</t>
  </si>
  <si>
    <t xml:space="preserve">Механизм (ГТР)</t>
  </si>
  <si>
    <t xml:space="preserve">Опросник принятия и действия-II</t>
  </si>
  <si>
    <t xml:space="preserve">AAQ-II</t>
  </si>
  <si>
    <t xml:space="preserve">Bond et al., 2011</t>
  </si>
  <si>
    <t xml:space="preserve">Психологическая негибкость, избегание переживаний</t>
  </si>
  <si>
    <t xml:space="preserve">Есть критика: может мерить общий дистресс — проверить литературу</t>
  </si>
  <si>
    <t xml:space="preserve">Опросник охранительного поведения (соц. тревога)</t>
  </si>
  <si>
    <t xml:space="preserve">SAFE</t>
  </si>
  <si>
    <t xml:space="preserve">Cuming et al., 2009</t>
  </si>
  <si>
    <t xml:space="preserve">Охранительное поведение и тонкое избегание</t>
  </si>
  <si>
    <t xml:space="preserve">≈32 (проверить)</t>
  </si>
  <si>
    <t xml:space="preserve">Прямая мишень КПТ</t>
  </si>
  <si>
    <t xml:space="preserve">Торонтская шкала алекситимии</t>
  </si>
  <si>
    <t xml:space="preserve">TAS-20</t>
  </si>
  <si>
    <t xml:space="preserve">Bagby, Parker, Taylor, 1994</t>
  </si>
  <si>
    <t xml:space="preserve">Трудности распознавания и называния чувств</t>
  </si>
  <si>
    <t xml:space="preserve">Старт</t>
  </si>
  <si>
    <t xml:space="preserve">Русская версия существует — проверить конкретную адаптацию</t>
  </si>
  <si>
    <t xml:space="preserve">Контекст (слой расхождений)</t>
  </si>
  <si>
    <t xml:space="preserve">Помогает интерпретировать расхождение самоотчёта и наблюдения терапевта</t>
  </si>
  <si>
    <t xml:space="preserve">Функционирование</t>
  </si>
  <si>
    <t xml:space="preserve">Шкала работы и социальной адаптации</t>
  </si>
  <si>
    <t xml:space="preserve">WSAS</t>
  </si>
  <si>
    <t xml:space="preserve">Mundt et al., 2002</t>
  </si>
  <si>
    <t xml:space="preserve">Нарушение функций: работа, быт, досуг, отношения</t>
  </si>
  <si>
    <t xml:space="preserve">Старт, раз в 4 сессии, финал</t>
  </si>
  <si>
    <t xml:space="preserve">Ядро (функционирование)</t>
  </si>
  <si>
    <t xml:space="preserve">Входит в рутинные данные NHS Talking Therapies</t>
  </si>
  <si>
    <t xml:space="preserve">Своими словами</t>
  </si>
  <si>
    <t xml:space="preserve">Главные проблемы</t>
  </si>
  <si>
    <t xml:space="preserve">Top Problems</t>
  </si>
  <si>
    <t xml:space="preserve">Weisz et al., 2011</t>
  </si>
  <si>
    <t xml:space="preserve">3 главные проблемы своими словами, оценка 0–10</t>
  </si>
  <si>
    <t xml:space="preserve">Клиент (+ терапевт)</t>
  </si>
  <si>
    <t xml:space="preserve">Формат переводится без валидизации пунктов</t>
  </si>
  <si>
    <t xml:space="preserve">Не требуется в той же мере</t>
  </si>
  <si>
    <t xml:space="preserve">Ядро (персонализация)</t>
  </si>
  <si>
    <t xml:space="preserve">Пункты формулирует сам клиент</t>
  </si>
  <si>
    <t xml:space="preserve">PSYCHLOPS</t>
  </si>
  <si>
    <t xml:space="preserve">Ashworth et al., 2004</t>
  </si>
  <si>
    <t xml:space="preserve">Проблема своими словами + функционирование + самочувствие</t>
  </si>
  <si>
    <t xml:space="preserve">4</t>
  </si>
  <si>
    <t xml:space="preserve">Альтернатива Top Problems</t>
  </si>
  <si>
    <t xml:space="preserve">Личный опросник</t>
  </si>
  <si>
    <t xml:space="preserve">PQ</t>
  </si>
  <si>
    <t xml:space="preserve">Shapiro, 1961; Elliott и коллеги</t>
  </si>
  <si>
    <t xml:space="preserve">Пункты, сформулированные клиентом</t>
  </si>
  <si>
    <t xml:space="preserve">10–15</t>
  </si>
  <si>
    <t xml:space="preserve">Шкала достижения целей</t>
  </si>
  <si>
    <t xml:space="preserve">GAS</t>
  </si>
  <si>
    <t xml:space="preserve">Kiresuk &amp; Sherman, 1968</t>
  </si>
  <si>
    <t xml:space="preserve">Достижение индивидуальных целей</t>
  </si>
  <si>
    <t xml:space="preserve">Клиент + терапевт</t>
  </si>
  <si>
    <t xml:space="preserve">Субъективные единицы дистресса</t>
  </si>
  <si>
    <t xml:space="preserve">SUDS</t>
  </si>
  <si>
    <t xml:space="preserve">Wolpe</t>
  </si>
  <si>
    <t xml:space="preserve">Дистресс в моменте 0–100</t>
  </si>
  <si>
    <t xml:space="preserve">1</t>
  </si>
  <si>
    <t xml:space="preserve">Микрозамеры, экспозиции</t>
  </si>
  <si>
    <t xml:space="preserve">Не требуется</t>
  </si>
  <si>
    <t xml:space="preserve">Ядро микрозамеров</t>
  </si>
  <si>
    <t xml:space="preserve">Основа карты триггеров: интенсивность эпизода</t>
  </si>
  <si>
    <t xml:space="preserve">Процесс терапии</t>
  </si>
  <si>
    <t xml:space="preserve">Шкала оценки результата</t>
  </si>
  <si>
    <t xml:space="preserve">ORS</t>
  </si>
  <si>
    <t xml:space="preserve">Miller, Duncan и коллеги, 2003</t>
  </si>
  <si>
    <t xml:space="preserve">Самочувствие (4 визуальные шкалы)</t>
  </si>
  <si>
    <t xml:space="preserve">В мета-анализе de Jong (2021) исследования с ORS показали больший эффект — это модератор, не прямое сравнение</t>
  </si>
  <si>
    <t xml:space="preserve">Шкала оценки сессии</t>
  </si>
  <si>
    <t xml:space="preserve">SRS</t>
  </si>
  <si>
    <t xml:space="preserve">Duncan и коллеги, 2003</t>
  </si>
  <si>
    <t xml:space="preserve">Альянс (4 визуальные шкалы)</t>
  </si>
  <si>
    <t xml:space="preserve">Конец каждой сессии</t>
  </si>
  <si>
    <t xml:space="preserve">Опросник рабочего альянса, краткий</t>
  </si>
  <si>
    <t xml:space="preserve">WAI-SR</t>
  </si>
  <si>
    <t xml:space="preserve">Hatcher &amp; Gillaspy, 2006</t>
  </si>
  <si>
    <t xml:space="preserve">Альянс: цели, задачи, связь</t>
  </si>
  <si>
    <t xml:space="preserve">Раз в 4 сессии / при сигнале</t>
  </si>
  <si>
    <t xml:space="preserve">Инструмент клинической поддержки</t>
  </si>
  <si>
    <t xml:space="preserve">Запускать при сигнале «не на траектории»</t>
  </si>
  <si>
    <t xml:space="preserve">Широкие системы</t>
  </si>
  <si>
    <t xml:space="preserve">Опросник результатов-45</t>
  </si>
  <si>
    <t xml:space="preserve">OQ-45</t>
  </si>
  <si>
    <t xml:space="preserve">Lambert и коллеги</t>
  </si>
  <si>
    <t xml:space="preserve">Общий дистресс, отношения, социальная роль</t>
  </si>
  <si>
    <t xml:space="preserve">45</t>
  </si>
  <si>
    <t xml:space="preserve">Платно</t>
  </si>
  <si>
    <t xml:space="preserve">Эталон для сравнения</t>
  </si>
  <si>
    <t xml:space="preserve">На нём построены первые кривые ожидаемого прогресса</t>
  </si>
  <si>
    <t xml:space="preserve">CORE-OM / CORE-10</t>
  </si>
  <si>
    <t xml:space="preserve">CORE</t>
  </si>
  <si>
    <t xml:space="preserve">Barkham, Evans и коллеги</t>
  </si>
  <si>
    <t xml:space="preserve">Общий психологический дистресс</t>
  </si>
  <si>
    <t xml:space="preserve">34 / 10</t>
  </si>
  <si>
    <t xml:space="preserve">Альтернатива</t>
  </si>
  <si>
    <t xml:space="preserve">Контекст и соматика</t>
  </si>
  <si>
    <t xml:space="preserve">Индекс тяжести бессонницы</t>
  </si>
  <si>
    <t xml:space="preserve">ISI</t>
  </si>
  <si>
    <t xml:space="preserve">Bastien, Vallières, Morin, 2001</t>
  </si>
  <si>
    <t xml:space="preserve">Тяжесть бессонницы</t>
  </si>
  <si>
    <t xml:space="preserve">Недосып — главный конфаундер тревоги</t>
  </si>
  <si>
    <t xml:space="preserve">Тест употребления алкоголя, краткий</t>
  </si>
  <si>
    <t xml:space="preserve">AUDIT-C</t>
  </si>
  <si>
    <t xml:space="preserve">Bush et al., 1998</t>
  </si>
  <si>
    <t xml:space="preserve">Употребление алкоголя</t>
  </si>
  <si>
    <t xml:space="preserve">Старт, раз в месяц</t>
  </si>
  <si>
    <t xml:space="preserve">AUDIT (ВОЗ) используется в РФ — проверить версию</t>
  </si>
  <si>
    <t xml:space="preserve">Опросник соматических симптомов</t>
  </si>
  <si>
    <t xml:space="preserve">PHQ-15</t>
  </si>
  <si>
    <t xml:space="preserve">Kroenke et al., 2002</t>
  </si>
  <si>
    <t xml:space="preserve">Соматические симптомы</t>
  </si>
  <si>
    <t xml:space="preserve">Золотарева А.А. — стандартизация русской версии</t>
  </si>
  <si>
    <t xml:space="preserve">Микровопросы: сон, кофеин, алкоголь, болезнь</t>
  </si>
  <si>
    <t xml:space="preserve">Собственная разработка</t>
  </si>
  <si>
    <t xml:space="preserve">Соматические факторы перед эпизодом тревоги</t>
  </si>
  <si>
    <t xml:space="preserve">3–4</t>
  </si>
  <si>
    <t xml:space="preserve">В каждой записи карты триггеров</t>
  </si>
  <si>
    <t xml:space="preserve">Собственный инструмент</t>
  </si>
  <si>
    <t xml:space="preserve">Ядро карты триггеров</t>
  </si>
  <si>
    <t xml:space="preserve">Отсекает ложные сигналы ухудшения</t>
  </si>
  <si>
    <t xml:space="preserve">Личностный фон</t>
  </si>
  <si>
    <t xml:space="preserve">Опросник Большой пятёрки-2 / краткий</t>
  </si>
  <si>
    <t xml:space="preserve">BFI-2 / BFI-2-S</t>
  </si>
  <si>
    <t xml:space="preserve">Soto &amp; John, 2017</t>
  </si>
  <si>
    <t xml:space="preserve">5 черт и 15 аспектов</t>
  </si>
  <si>
    <t xml:space="preserve">60 / 30</t>
  </si>
  <si>
    <t xml:space="preserve">Щебетенко С.А., Калугин А.Ю. и др., 2021 (Психология. Журнал ВШЭ); BFI-2-S/XS — 2022</t>
  </si>
  <si>
    <t xml:space="preserve">Не трекать: это черта, а не исход</t>
  </si>
  <si>
    <t xml:space="preserve">Не брать для мониторинга</t>
  </si>
  <si>
    <t xml:space="preserve">Шкала тревожности Спилбергера–Ханина</t>
  </si>
  <si>
    <t xml:space="preserve">STAI</t>
  </si>
  <si>
    <t xml:space="preserve">Spielberger, 1970; рус. — Ханин</t>
  </si>
  <si>
    <t xml:space="preserve">Ситуативная и личностная тревожность</t>
  </si>
  <si>
    <t xml:space="preserve">40</t>
  </si>
  <si>
    <t xml:space="preserve">Широко используется</t>
  </si>
  <si>
    <t xml:space="preserve">Используется</t>
  </si>
  <si>
    <t xml:space="preserve">Knowles &amp; Olatunji (2020): шкала черты — неспецифичный негативный аффект, одинаково связана с тревогой и депрессией</t>
  </si>
  <si>
    <t xml:space="preserve">Шкала явной тревожности Тейлор</t>
  </si>
  <si>
    <t xml:space="preserve">TMAS</t>
  </si>
  <si>
    <t xml:space="preserve">Taylor, 1953</t>
  </si>
  <si>
    <t xml:space="preserve">Тревожность</t>
  </si>
  <si>
    <t xml:space="preserve">50</t>
  </si>
  <si>
    <t xml:space="preserve">Устаревшая; данных о чувствительности к изменениям в русской версии не найдено</t>
  </si>
  <si>
    <t xml:space="preserve">Тест Люшера, тест Сонди</t>
  </si>
  <si>
    <t xml:space="preserve">Lüscher; Szondi</t>
  </si>
  <si>
    <t xml:space="preserve">Проективные</t>
  </si>
  <si>
    <t xml:space="preserve">Используются</t>
  </si>
  <si>
    <t xml:space="preserve">Не брать</t>
  </si>
  <si>
    <t xml:space="preserve">Валидность не установлена (Norcross et al., 2006 и др.)</t>
  </si>
  <si>
    <t xml:space="preserve">Калькулятор надёжного изменения (Jacobson &amp; Truax, 1991)</t>
  </si>
  <si>
    <t xml:space="preserve">Меняйте только синие ячейки в столбце B. Шкала, где больший балл = хуже (как GAD-7).</t>
  </si>
  <si>
    <t xml:space="preserve">Входные данные</t>
  </si>
  <si>
    <t xml:space="preserve">Стандартное отклонение шкалы (SD)</t>
  </si>
  <si>
    <t xml:space="preserve">ПРИМЕР, не норматив. Возьмите SD из русской адаптации (Золотарева, 2023) или из своей выборки.</t>
  </si>
  <si>
    <t xml:space="preserve">Надёжность шкалы (r)</t>
  </si>
  <si>
    <t xml:space="preserve">Пример. α (внутренняя согласованность) даёт меньший порог, ретестовая r — больший. Русская GAD-7: α = 0,93.</t>
  </si>
  <si>
    <t xml:space="preserve">Клинический порог («случай»)</t>
  </si>
  <si>
    <t xml:space="preserve">NHS Talking Therapies для GAD-7 — 8; классический скрининговый порог Spitzer — 10.</t>
  </si>
  <si>
    <t xml:space="preserve">Балл на старте (X1)</t>
  </si>
  <si>
    <t xml:space="preserve">Пример клиента.</t>
  </si>
  <si>
    <t xml:space="preserve">Балл сейчас (X2)</t>
  </si>
  <si>
    <t xml:space="preserve">Расчёт</t>
  </si>
  <si>
    <t xml:space="preserve">Стандартная ошибка измерения (SEM)</t>
  </si>
  <si>
    <t xml:space="preserve">SEM = SD × √(1 − r)</t>
  </si>
  <si>
    <t xml:space="preserve">Стандартная ошибка разности (S_diff)</t>
  </si>
  <si>
    <t xml:space="preserve">S_diff = √2 × SEM</t>
  </si>
  <si>
    <t xml:space="preserve">Порог надёжного изменения, баллов</t>
  </si>
  <si>
    <t xml:space="preserve">Изменение больше этого — не шум (95%)</t>
  </si>
  <si>
    <t xml:space="preserve">Изменение (X2 − X1)</t>
  </si>
  <si>
    <t xml:space="preserve">Отрицательное = снижение симптомов</t>
  </si>
  <si>
    <t xml:space="preserve">Индекс надёжного изменения (RCI)</t>
  </si>
  <si>
    <t xml:space="preserve">|RCI| ≥ 1,96 — надёжное изменение</t>
  </si>
  <si>
    <t xml:space="preserve">Надёжность изменения</t>
  </si>
  <si>
    <t xml:space="preserve">Итоговая категория</t>
  </si>
  <si>
    <t xml:space="preserve">Логика NHS: выздоровление = надёжное улучшение + выход ниже клинического порога</t>
  </si>
  <si>
    <t xml:space="preserve">Важно: пример с SD = 5 иллюстративный. Подстановка α вместо ретестовой надёжности меняет порог примерно в полтора раза — фиксируйте, какой коэффициент выбран, и одинаково применяйте его ко всем клиентам.</t>
  </si>
  <si>
    <t xml:space="preserve">Легенда</t>
  </si>
  <si>
    <t xml:space="preserve">Найдена опубликованная русскоязычная адаптация/валидизация (источник указан в реестре).</t>
  </si>
  <si>
    <t xml:space="preserve">Русская версия применяется на практике или в исследованиях, но конкретную валидизацию нужно найти и оценить.</t>
  </si>
  <si>
    <t xml:space="preserve">При поиске русскоязычная валидизация не найдена. Это задача на проверку, а не вывод «её нет».</t>
  </si>
  <si>
    <t xml:space="preserve">Проходят все клиенты, каждую сессию или на ключевых точках.</t>
  </si>
  <si>
    <t xml:space="preserve">Подключается, если ведущая проблема — паника, соц. тревога, ОКР, ПТСР и т. п. (логика NHS: специфическая шкала вместо GAD-7).</t>
  </si>
  <si>
    <t xml:space="preserve">Меряет то, что поддерживает тревогу; полезно для инструментов клинической поддержки.</t>
  </si>
  <si>
    <t xml:space="preserve">Не исход, а фон для интерпретации (сон, алкоголь, личность).</t>
  </si>
  <si>
    <t xml:space="preserve">Нет специфичности или валидности для отслеживания тревоги.</t>
  </si>
  <si>
    <t xml:space="preserve">Ключевые источники</t>
  </si>
  <si>
    <t xml:space="preserve">Spitzer et al., 2006 — GAD-7</t>
  </si>
  <si>
    <t xml:space="preserve">Archives of Internal Medicine 166(10):1092–1097, doi:10.1001/archinte.166.10.1092</t>
  </si>
  <si>
    <t xml:space="preserve">Золотарева, 2023 — русская GAD-7</t>
  </si>
  <si>
    <t xml:space="preserve">Консультативная психология и психотерапия 31(4):31–46, doi:10.17759/cpp.2023310402</t>
  </si>
  <si>
    <t xml:space="preserve">Клинические рекомендации МЗ РФ «Генерализованное тревожное расстройство», 2024</t>
  </si>
  <si>
    <t xml:space="preserve">Приложения Г1–Г16 — официальный перечень шкал; изучить полностью</t>
  </si>
  <si>
    <t xml:space="preserve">Jacobson &amp; Truax, 1991 — индекс надёжного изменения</t>
  </si>
  <si>
    <t xml:space="preserve">Journal of Consulting and Clinical Psychology 59(1):12–19</t>
  </si>
  <si>
    <t xml:space="preserve">de Jong et al., 2021 — мета-анализ обратной связи</t>
  </si>
  <si>
    <t xml:space="preserve">Clinical Psychology Review 85:102002, doi:10.1016/j.cpr.2021.102002</t>
  </si>
  <si>
    <t xml:space="preserve">Hannan et al., 2005 — терапевты и ухудшение</t>
  </si>
  <si>
    <t xml:space="preserve">Journal of Clinical Psychology 61(2):155–163, doi:10.1002/jclp.20108</t>
  </si>
  <si>
    <t xml:space="preserve">Knowles &amp; Olatunji, 2020 — специфичность STAI</t>
  </si>
  <si>
    <t xml:space="preserve">Clinical Psychology Review 82:101928, doi:10.1016/j.cpr.2020.101928</t>
  </si>
  <si>
    <t xml:space="preserve">Fisher, Medaglia &amp; Jeronimus, 2018 — неэргодичность</t>
  </si>
  <si>
    <t xml:space="preserve">PNAS 115(27):E6106–E6115, doi:10.1073/pnas.1711978115</t>
  </si>
  <si>
    <t xml:space="preserve">Lutz et al., 2006 — ближайшие соседи и кривые роста</t>
  </si>
  <si>
    <t xml:space="preserve">Clinical Psychology &amp; Psychotherapy, doi:10.1002/cpp.496</t>
  </si>
  <si>
    <t xml:space="preserve">Lutz et al., 2017 — протокол РКИ Trier Treatment Navigator</t>
  </si>
  <si>
    <t xml:space="preserve">BMC Psychiatry, doi:10.1186/s12888-017-1464-2</t>
  </si>
  <si>
    <t xml:space="preserve">Nguyen et al., 2025 — короткие видео и когниции</t>
  </si>
  <si>
    <t xml:space="preserve">Psychological Bulletin 151(9):1125–1146, doi:10.1037/bul0000498</t>
  </si>
  <si>
    <t xml:space="preserve">ITC Guidelines for Translating and Adapting Tests, 2nd ed.</t>
  </si>
  <si>
    <t xml:space="preserve">International Test Commission (2017); стандарт межкультурной адаптации — сверить выходные данные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</si>
</sst>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sz val="9"/>
      <color rgb="FF9C57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DEBF7"/>
      </patternFill>
    </fill>
    <fill>
      <patternFill patternType="solid">
        <fgColor rgb="FFF8CBAD"/>
        <bgColor rgb="FFFCE4D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34"/>
    <col collapsed="false" customWidth="true" hidden="false" outlineLevel="0" max="11" min="11" style="0" width="38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4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43.25" hidden="false" customHeight="false" outlineLevel="0" collapsed="false">
      <c r="A5" s="4" t="n">
        <v>1</v>
      </c>
      <c r="B5" s="5" t="s">
        <v>17</v>
      </c>
      <c r="C5" s="4" t="s">
        <v>18</v>
      </c>
      <c r="D5" s="6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7" t="s">
        <v>27</v>
      </c>
      <c r="M5" s="4" t="s">
        <v>28</v>
      </c>
      <c r="N5" s="4" t="s">
        <v>29</v>
      </c>
      <c r="O5" s="4" t="s">
        <v>30</v>
      </c>
    </row>
    <row r="6" customFormat="false" ht="43.25" hidden="false" customHeight="false" outlineLevel="0" collapsed="false">
      <c r="A6" s="4" t="n">
        <v>2</v>
      </c>
      <c r="B6" s="5" t="s">
        <v>17</v>
      </c>
      <c r="C6" s="4" t="s">
        <v>31</v>
      </c>
      <c r="D6" s="6" t="s">
        <v>32</v>
      </c>
      <c r="E6" s="4" t="s">
        <v>33</v>
      </c>
      <c r="F6" s="4" t="s">
        <v>34</v>
      </c>
      <c r="G6" s="4" t="s">
        <v>35</v>
      </c>
      <c r="H6" s="4" t="s">
        <v>23</v>
      </c>
      <c r="I6" s="4" t="s">
        <v>36</v>
      </c>
      <c r="J6" s="4" t="s">
        <v>37</v>
      </c>
      <c r="K6" s="4" t="s">
        <v>38</v>
      </c>
      <c r="L6" s="4" t="s">
        <v>39</v>
      </c>
      <c r="M6" s="4" t="s">
        <v>28</v>
      </c>
      <c r="N6" s="4" t="s">
        <v>40</v>
      </c>
      <c r="O6" s="4" t="s">
        <v>41</v>
      </c>
    </row>
    <row r="7" customFormat="false" ht="32.8" hidden="false" customHeight="false" outlineLevel="0" collapsed="false">
      <c r="A7" s="4" t="n">
        <v>3</v>
      </c>
      <c r="B7" s="5" t="s">
        <v>17</v>
      </c>
      <c r="C7" s="4" t="s">
        <v>42</v>
      </c>
      <c r="D7" s="6" t="s">
        <v>43</v>
      </c>
      <c r="E7" s="4" t="s">
        <v>44</v>
      </c>
      <c r="F7" s="4" t="s">
        <v>45</v>
      </c>
      <c r="G7" s="4" t="s">
        <v>46</v>
      </c>
      <c r="H7" s="4" t="s">
        <v>23</v>
      </c>
      <c r="I7" s="4" t="s">
        <v>24</v>
      </c>
      <c r="J7" s="4" t="s">
        <v>47</v>
      </c>
      <c r="K7" s="4" t="s">
        <v>48</v>
      </c>
      <c r="L7" s="4" t="s">
        <v>49</v>
      </c>
      <c r="M7" s="4" t="s">
        <v>28</v>
      </c>
      <c r="N7" s="4" t="s">
        <v>29</v>
      </c>
      <c r="O7" s="4" t="s">
        <v>50</v>
      </c>
    </row>
    <row r="8" customFormat="false" ht="32.8" hidden="false" customHeight="false" outlineLevel="0" collapsed="false">
      <c r="A8" s="4" t="n">
        <v>4</v>
      </c>
      <c r="B8" s="5" t="s">
        <v>17</v>
      </c>
      <c r="C8" s="4" t="s">
        <v>51</v>
      </c>
      <c r="D8" s="6" t="s">
        <v>52</v>
      </c>
      <c r="E8" s="4" t="s">
        <v>53</v>
      </c>
      <c r="F8" s="4" t="s">
        <v>54</v>
      </c>
      <c r="G8" s="4" t="s">
        <v>55</v>
      </c>
      <c r="H8" s="4" t="s">
        <v>23</v>
      </c>
      <c r="I8" s="4" t="s">
        <v>24</v>
      </c>
      <c r="J8" s="4" t="s">
        <v>56</v>
      </c>
      <c r="K8" s="4" t="s">
        <v>57</v>
      </c>
      <c r="L8" s="8" t="s">
        <v>58</v>
      </c>
      <c r="M8" s="4" t="s">
        <v>28</v>
      </c>
      <c r="N8" s="4" t="s">
        <v>59</v>
      </c>
      <c r="O8" s="4" t="s">
        <v>60</v>
      </c>
    </row>
    <row r="9" customFormat="false" ht="32.8" hidden="false" customHeight="false" outlineLevel="0" collapsed="false">
      <c r="A9" s="4" t="n">
        <v>5</v>
      </c>
      <c r="B9" s="5" t="s">
        <v>17</v>
      </c>
      <c r="C9" s="4" t="s">
        <v>61</v>
      </c>
      <c r="D9" s="6" t="s">
        <v>62</v>
      </c>
      <c r="E9" s="4" t="s">
        <v>63</v>
      </c>
      <c r="F9" s="4" t="s">
        <v>64</v>
      </c>
      <c r="G9" s="4" t="s">
        <v>65</v>
      </c>
      <c r="H9" s="4" t="s">
        <v>23</v>
      </c>
      <c r="I9" s="4" t="s">
        <v>24</v>
      </c>
      <c r="J9" s="4" t="s">
        <v>56</v>
      </c>
      <c r="K9" s="4" t="s">
        <v>66</v>
      </c>
      <c r="L9" s="8" t="s">
        <v>58</v>
      </c>
      <c r="M9" s="4" t="s">
        <v>67</v>
      </c>
      <c r="N9" s="4" t="s">
        <v>68</v>
      </c>
      <c r="O9" s="4" t="s">
        <v>69</v>
      </c>
    </row>
    <row r="10" customFormat="false" ht="32.8" hidden="false" customHeight="false" outlineLevel="0" collapsed="false">
      <c r="A10" s="4" t="n">
        <v>6</v>
      </c>
      <c r="B10" s="5" t="s">
        <v>17</v>
      </c>
      <c r="C10" s="4" t="s">
        <v>70</v>
      </c>
      <c r="D10" s="6" t="s">
        <v>71</v>
      </c>
      <c r="E10" s="4" t="s">
        <v>72</v>
      </c>
      <c r="F10" s="4" t="s">
        <v>73</v>
      </c>
      <c r="G10" s="4" t="s">
        <v>74</v>
      </c>
      <c r="H10" s="4" t="s">
        <v>23</v>
      </c>
      <c r="I10" s="4" t="s">
        <v>75</v>
      </c>
      <c r="J10" s="4" t="s">
        <v>56</v>
      </c>
      <c r="K10" s="4" t="s">
        <v>76</v>
      </c>
      <c r="L10" s="7" t="s">
        <v>27</v>
      </c>
      <c r="M10" s="4" t="s">
        <v>28</v>
      </c>
      <c r="N10" s="4" t="s">
        <v>40</v>
      </c>
      <c r="O10" s="4" t="s">
        <v>77</v>
      </c>
    </row>
    <row r="11" customFormat="false" ht="22.35" hidden="false" customHeight="false" outlineLevel="0" collapsed="false">
      <c r="A11" s="4" t="n">
        <v>7</v>
      </c>
      <c r="B11" s="5" t="s">
        <v>17</v>
      </c>
      <c r="C11" s="4" t="s">
        <v>78</v>
      </c>
      <c r="D11" s="6" t="s">
        <v>79</v>
      </c>
      <c r="E11" s="4" t="s">
        <v>80</v>
      </c>
      <c r="F11" s="4" t="s">
        <v>81</v>
      </c>
      <c r="G11" s="4" t="s">
        <v>74</v>
      </c>
      <c r="H11" s="4" t="s">
        <v>23</v>
      </c>
      <c r="I11" s="4" t="s">
        <v>75</v>
      </c>
      <c r="J11" s="4" t="s">
        <v>56</v>
      </c>
      <c r="K11" s="4" t="s">
        <v>82</v>
      </c>
      <c r="L11" s="4" t="s">
        <v>49</v>
      </c>
      <c r="M11" s="4" t="s">
        <v>83</v>
      </c>
      <c r="N11" s="4" t="s">
        <v>40</v>
      </c>
      <c r="O11" s="4" t="s">
        <v>84</v>
      </c>
    </row>
    <row r="12" customFormat="false" ht="22.35" hidden="false" customHeight="false" outlineLevel="0" collapsed="false">
      <c r="A12" s="4" t="n">
        <v>8</v>
      </c>
      <c r="B12" s="5" t="s">
        <v>17</v>
      </c>
      <c r="C12" s="4" t="s">
        <v>85</v>
      </c>
      <c r="D12" s="6" t="s">
        <v>86</v>
      </c>
      <c r="E12" s="4" t="s">
        <v>87</v>
      </c>
      <c r="F12" s="4" t="s">
        <v>88</v>
      </c>
      <c r="G12" s="4" t="s">
        <v>89</v>
      </c>
      <c r="H12" s="4" t="s">
        <v>23</v>
      </c>
      <c r="I12" s="4" t="s">
        <v>75</v>
      </c>
      <c r="J12" s="4" t="s">
        <v>56</v>
      </c>
      <c r="K12" s="4" t="s">
        <v>90</v>
      </c>
      <c r="L12" s="4" t="s">
        <v>49</v>
      </c>
      <c r="M12" s="4" t="s">
        <v>83</v>
      </c>
      <c r="N12" s="4" t="s">
        <v>91</v>
      </c>
      <c r="O12" s="4" t="s">
        <v>92</v>
      </c>
    </row>
    <row r="13" customFormat="false" ht="22.35" hidden="false" customHeight="false" outlineLevel="0" collapsed="false">
      <c r="A13" s="4" t="n">
        <v>9</v>
      </c>
      <c r="B13" s="5" t="s">
        <v>17</v>
      </c>
      <c r="C13" s="4" t="s">
        <v>93</v>
      </c>
      <c r="D13" s="6" t="s">
        <v>94</v>
      </c>
      <c r="E13" s="4" t="s">
        <v>95</v>
      </c>
      <c r="F13" s="4" t="s">
        <v>96</v>
      </c>
      <c r="G13" s="4" t="s">
        <v>97</v>
      </c>
      <c r="H13" s="4" t="s">
        <v>23</v>
      </c>
      <c r="I13" s="4" t="s">
        <v>98</v>
      </c>
      <c r="J13" s="4" t="s">
        <v>56</v>
      </c>
      <c r="K13" s="4" t="s">
        <v>99</v>
      </c>
      <c r="L13" s="7" t="s">
        <v>27</v>
      </c>
      <c r="M13" s="4" t="s">
        <v>28</v>
      </c>
      <c r="N13" s="4" t="s">
        <v>100</v>
      </c>
      <c r="O13" s="4" t="s">
        <v>101</v>
      </c>
    </row>
    <row r="14" customFormat="false" ht="22.35" hidden="false" customHeight="false" outlineLevel="0" collapsed="false">
      <c r="A14" s="4" t="n">
        <v>10</v>
      </c>
      <c r="B14" s="9" t="s">
        <v>102</v>
      </c>
      <c r="C14" s="4" t="s">
        <v>103</v>
      </c>
      <c r="D14" s="6" t="s">
        <v>104</v>
      </c>
      <c r="E14" s="4" t="s">
        <v>105</v>
      </c>
      <c r="F14" s="4" t="s">
        <v>106</v>
      </c>
      <c r="G14" s="4" t="s">
        <v>107</v>
      </c>
      <c r="H14" s="4" t="s">
        <v>108</v>
      </c>
      <c r="I14" s="4" t="s">
        <v>24</v>
      </c>
      <c r="J14" s="4" t="s">
        <v>109</v>
      </c>
      <c r="K14" s="4" t="s">
        <v>57</v>
      </c>
      <c r="L14" s="8" t="s">
        <v>58</v>
      </c>
      <c r="M14" s="4" t="s">
        <v>28</v>
      </c>
      <c r="N14" s="4" t="s">
        <v>110</v>
      </c>
      <c r="O14" s="4" t="s">
        <v>111</v>
      </c>
    </row>
    <row r="15" customFormat="false" ht="22.35" hidden="false" customHeight="false" outlineLevel="0" collapsed="false">
      <c r="A15" s="4" t="n">
        <v>11</v>
      </c>
      <c r="B15" s="9" t="s">
        <v>102</v>
      </c>
      <c r="C15" s="4" t="s">
        <v>112</v>
      </c>
      <c r="D15" s="6" t="s">
        <v>113</v>
      </c>
      <c r="E15" s="4" t="s">
        <v>114</v>
      </c>
      <c r="F15" s="4" t="s">
        <v>115</v>
      </c>
      <c r="G15" s="4" t="s">
        <v>89</v>
      </c>
      <c r="H15" s="4" t="s">
        <v>108</v>
      </c>
      <c r="I15" s="4" t="s">
        <v>116</v>
      </c>
      <c r="J15" s="4" t="s">
        <v>56</v>
      </c>
      <c r="K15" s="4" t="s">
        <v>117</v>
      </c>
      <c r="L15" s="4" t="s">
        <v>49</v>
      </c>
      <c r="M15" s="4" t="s">
        <v>28</v>
      </c>
      <c r="N15" s="4" t="s">
        <v>91</v>
      </c>
      <c r="O15" s="4" t="s">
        <v>118</v>
      </c>
    </row>
    <row r="16" customFormat="false" ht="22.35" hidden="false" customHeight="false" outlineLevel="0" collapsed="false">
      <c r="A16" s="4" t="n">
        <v>12</v>
      </c>
      <c r="B16" s="9" t="s">
        <v>102</v>
      </c>
      <c r="C16" s="4" t="s">
        <v>119</v>
      </c>
      <c r="D16" s="6" t="s">
        <v>120</v>
      </c>
      <c r="E16" s="4" t="s">
        <v>121</v>
      </c>
      <c r="F16" s="4" t="s">
        <v>122</v>
      </c>
      <c r="G16" s="4" t="s">
        <v>123</v>
      </c>
      <c r="H16" s="4" t="s">
        <v>108</v>
      </c>
      <c r="I16" s="4" t="s">
        <v>116</v>
      </c>
      <c r="J16" s="4" t="s">
        <v>56</v>
      </c>
      <c r="K16" s="4" t="s">
        <v>57</v>
      </c>
      <c r="L16" s="8" t="s">
        <v>58</v>
      </c>
      <c r="M16" s="4" t="s">
        <v>58</v>
      </c>
      <c r="N16" s="4" t="s">
        <v>124</v>
      </c>
      <c r="O16" s="4"/>
    </row>
    <row r="17" customFormat="false" ht="22.35" hidden="false" customHeight="false" outlineLevel="0" collapsed="false">
      <c r="A17" s="4" t="n">
        <v>13</v>
      </c>
      <c r="B17" s="10" t="s">
        <v>125</v>
      </c>
      <c r="C17" s="4" t="s">
        <v>126</v>
      </c>
      <c r="D17" s="6" t="s">
        <v>127</v>
      </c>
      <c r="E17" s="4" t="s">
        <v>128</v>
      </c>
      <c r="F17" s="4" t="s">
        <v>129</v>
      </c>
      <c r="G17" s="4" t="s">
        <v>130</v>
      </c>
      <c r="H17" s="4" t="s">
        <v>23</v>
      </c>
      <c r="I17" s="4" t="s">
        <v>75</v>
      </c>
      <c r="J17" s="4" t="s">
        <v>56</v>
      </c>
      <c r="K17" s="4" t="s">
        <v>66</v>
      </c>
      <c r="L17" s="8" t="s">
        <v>58</v>
      </c>
      <c r="M17" s="4" t="s">
        <v>28</v>
      </c>
      <c r="N17" s="4" t="s">
        <v>131</v>
      </c>
      <c r="O17" s="4"/>
    </row>
    <row r="18" customFormat="false" ht="32.8" hidden="false" customHeight="false" outlineLevel="0" collapsed="false">
      <c r="A18" s="4" t="n">
        <v>14</v>
      </c>
      <c r="B18" s="10" t="s">
        <v>125</v>
      </c>
      <c r="C18" s="4" t="s">
        <v>132</v>
      </c>
      <c r="D18" s="6" t="s">
        <v>133</v>
      </c>
      <c r="E18" s="4" t="s">
        <v>134</v>
      </c>
      <c r="F18" s="4" t="s">
        <v>135</v>
      </c>
      <c r="G18" s="4" t="s">
        <v>136</v>
      </c>
      <c r="H18" s="4" t="s">
        <v>23</v>
      </c>
      <c r="I18" s="4" t="s">
        <v>24</v>
      </c>
      <c r="J18" s="4" t="s">
        <v>56</v>
      </c>
      <c r="K18" s="4" t="s">
        <v>66</v>
      </c>
      <c r="L18" s="8" t="s">
        <v>58</v>
      </c>
      <c r="M18" s="4" t="s">
        <v>58</v>
      </c>
      <c r="N18" s="4" t="s">
        <v>137</v>
      </c>
      <c r="O18" s="4" t="s">
        <v>138</v>
      </c>
    </row>
    <row r="19" customFormat="false" ht="22.35" hidden="false" customHeight="false" outlineLevel="0" collapsed="false">
      <c r="A19" s="4" t="n">
        <v>15</v>
      </c>
      <c r="B19" s="10" t="s">
        <v>125</v>
      </c>
      <c r="C19" s="4" t="s">
        <v>139</v>
      </c>
      <c r="D19" s="6" t="s">
        <v>140</v>
      </c>
      <c r="E19" s="4" t="s">
        <v>141</v>
      </c>
      <c r="F19" s="4" t="s">
        <v>142</v>
      </c>
      <c r="G19" s="4" t="s">
        <v>22</v>
      </c>
      <c r="H19" s="4" t="s">
        <v>23</v>
      </c>
      <c r="I19" s="4" t="s">
        <v>143</v>
      </c>
      <c r="J19" s="4" t="s">
        <v>56</v>
      </c>
      <c r="K19" s="4" t="s">
        <v>66</v>
      </c>
      <c r="L19" s="8" t="s">
        <v>58</v>
      </c>
      <c r="M19" s="4" t="s">
        <v>58</v>
      </c>
      <c r="N19" s="4" t="s">
        <v>144</v>
      </c>
      <c r="O19" s="4"/>
    </row>
    <row r="20" customFormat="false" ht="22.35" hidden="false" customHeight="false" outlineLevel="0" collapsed="false">
      <c r="A20" s="4" t="n">
        <v>16</v>
      </c>
      <c r="B20" s="10" t="s">
        <v>125</v>
      </c>
      <c r="C20" s="4" t="s">
        <v>145</v>
      </c>
      <c r="D20" s="6" t="s">
        <v>146</v>
      </c>
      <c r="E20" s="4" t="s">
        <v>147</v>
      </c>
      <c r="F20" s="4" t="s">
        <v>148</v>
      </c>
      <c r="G20" s="4" t="s">
        <v>149</v>
      </c>
      <c r="H20" s="4" t="s">
        <v>23</v>
      </c>
      <c r="I20" s="4" t="s">
        <v>150</v>
      </c>
      <c r="J20" s="4" t="s">
        <v>56</v>
      </c>
      <c r="K20" s="4" t="s">
        <v>66</v>
      </c>
      <c r="L20" s="8" t="s">
        <v>58</v>
      </c>
      <c r="M20" s="4" t="s">
        <v>58</v>
      </c>
      <c r="N20" s="4" t="s">
        <v>151</v>
      </c>
      <c r="O20" s="4"/>
    </row>
    <row r="21" customFormat="false" ht="22.35" hidden="false" customHeight="false" outlineLevel="0" collapsed="false">
      <c r="A21" s="4" t="n">
        <v>17</v>
      </c>
      <c r="B21" s="10" t="s">
        <v>125</v>
      </c>
      <c r="C21" s="4" t="s">
        <v>152</v>
      </c>
      <c r="D21" s="6" t="s">
        <v>153</v>
      </c>
      <c r="E21" s="4" t="s">
        <v>154</v>
      </c>
      <c r="F21" s="4" t="s">
        <v>155</v>
      </c>
      <c r="G21" s="4" t="s">
        <v>156</v>
      </c>
      <c r="H21" s="4" t="s">
        <v>23</v>
      </c>
      <c r="I21" s="4" t="s">
        <v>157</v>
      </c>
      <c r="J21" s="4" t="s">
        <v>56</v>
      </c>
      <c r="K21" s="4" t="s">
        <v>66</v>
      </c>
      <c r="L21" s="8" t="s">
        <v>58</v>
      </c>
      <c r="M21" s="4" t="s">
        <v>58</v>
      </c>
      <c r="N21" s="4" t="s">
        <v>40</v>
      </c>
      <c r="O21" s="4"/>
    </row>
    <row r="22" customFormat="false" ht="22.35" hidden="false" customHeight="false" outlineLevel="0" collapsed="false">
      <c r="A22" s="4" t="n">
        <v>18</v>
      </c>
      <c r="B22" s="10" t="s">
        <v>125</v>
      </c>
      <c r="C22" s="4" t="s">
        <v>158</v>
      </c>
      <c r="D22" s="6" t="s">
        <v>159</v>
      </c>
      <c r="E22" s="4" t="s">
        <v>160</v>
      </c>
      <c r="F22" s="4" t="s">
        <v>161</v>
      </c>
      <c r="G22" s="4" t="s">
        <v>162</v>
      </c>
      <c r="H22" s="4" t="s">
        <v>23</v>
      </c>
      <c r="I22" s="4" t="s">
        <v>116</v>
      </c>
      <c r="J22" s="4" t="s">
        <v>56</v>
      </c>
      <c r="K22" s="4" t="s">
        <v>163</v>
      </c>
      <c r="L22" s="4" t="s">
        <v>49</v>
      </c>
      <c r="M22" s="4" t="s">
        <v>58</v>
      </c>
      <c r="N22" s="4" t="s">
        <v>151</v>
      </c>
      <c r="O22" s="4"/>
    </row>
    <row r="23" customFormat="false" ht="22.35" hidden="false" customHeight="false" outlineLevel="0" collapsed="false">
      <c r="A23" s="4" t="n">
        <v>19</v>
      </c>
      <c r="B23" s="10" t="s">
        <v>125</v>
      </c>
      <c r="C23" s="4" t="s">
        <v>164</v>
      </c>
      <c r="D23" s="6" t="s">
        <v>165</v>
      </c>
      <c r="E23" s="4" t="s">
        <v>166</v>
      </c>
      <c r="F23" s="4" t="s">
        <v>167</v>
      </c>
      <c r="G23" s="4" t="s">
        <v>168</v>
      </c>
      <c r="H23" s="4" t="s">
        <v>23</v>
      </c>
      <c r="I23" s="4" t="s">
        <v>150</v>
      </c>
      <c r="J23" s="4" t="s">
        <v>56</v>
      </c>
      <c r="K23" s="4" t="s">
        <v>66</v>
      </c>
      <c r="L23" s="8" t="s">
        <v>58</v>
      </c>
      <c r="M23" s="4" t="s">
        <v>28</v>
      </c>
      <c r="N23" s="4" t="s">
        <v>124</v>
      </c>
      <c r="O23" s="4" t="s">
        <v>169</v>
      </c>
    </row>
    <row r="24" customFormat="false" ht="32.8" hidden="false" customHeight="false" outlineLevel="0" collapsed="false">
      <c r="A24" s="4" t="n">
        <v>20</v>
      </c>
      <c r="B24" s="10" t="s">
        <v>125</v>
      </c>
      <c r="C24" s="4" t="s">
        <v>170</v>
      </c>
      <c r="D24" s="6" t="s">
        <v>171</v>
      </c>
      <c r="E24" s="4" t="s">
        <v>172</v>
      </c>
      <c r="F24" s="4" t="s">
        <v>173</v>
      </c>
      <c r="G24" s="4" t="s">
        <v>174</v>
      </c>
      <c r="H24" s="4" t="s">
        <v>23</v>
      </c>
      <c r="I24" s="4" t="s">
        <v>175</v>
      </c>
      <c r="J24" s="4" t="s">
        <v>56</v>
      </c>
      <c r="K24" s="4" t="s">
        <v>176</v>
      </c>
      <c r="L24" s="7" t="s">
        <v>177</v>
      </c>
      <c r="M24" s="4" t="s">
        <v>28</v>
      </c>
      <c r="N24" s="4" t="s">
        <v>178</v>
      </c>
      <c r="O24" s="4" t="s">
        <v>179</v>
      </c>
    </row>
    <row r="25" customFormat="false" ht="22.35" hidden="false" customHeight="false" outlineLevel="0" collapsed="false">
      <c r="A25" s="4" t="n">
        <v>21</v>
      </c>
      <c r="B25" s="10" t="s">
        <v>125</v>
      </c>
      <c r="C25" s="4" t="s">
        <v>180</v>
      </c>
      <c r="D25" s="6" t="s">
        <v>181</v>
      </c>
      <c r="E25" s="4" t="s">
        <v>182</v>
      </c>
      <c r="F25" s="4" t="s">
        <v>183</v>
      </c>
      <c r="G25" s="4" t="s">
        <v>184</v>
      </c>
      <c r="H25" s="4" t="s">
        <v>23</v>
      </c>
      <c r="I25" s="4" t="s">
        <v>150</v>
      </c>
      <c r="J25" s="4" t="s">
        <v>56</v>
      </c>
      <c r="K25" s="4" t="s">
        <v>185</v>
      </c>
      <c r="L25" s="4" t="s">
        <v>49</v>
      </c>
      <c r="M25" s="4" t="s">
        <v>28</v>
      </c>
      <c r="N25" s="4" t="s">
        <v>186</v>
      </c>
      <c r="O25" s="4" t="s">
        <v>187</v>
      </c>
    </row>
    <row r="26" customFormat="false" ht="22.35" hidden="false" customHeight="false" outlineLevel="0" collapsed="false">
      <c r="A26" s="4" t="n">
        <v>22</v>
      </c>
      <c r="B26" s="10" t="s">
        <v>125</v>
      </c>
      <c r="C26" s="4" t="s">
        <v>188</v>
      </c>
      <c r="D26" s="6" t="s">
        <v>189</v>
      </c>
      <c r="E26" s="4" t="s">
        <v>190</v>
      </c>
      <c r="F26" s="4" t="s">
        <v>191</v>
      </c>
      <c r="G26" s="4" t="s">
        <v>168</v>
      </c>
      <c r="H26" s="4" t="s">
        <v>23</v>
      </c>
      <c r="I26" s="4" t="s">
        <v>116</v>
      </c>
      <c r="J26" s="4" t="s">
        <v>56</v>
      </c>
      <c r="K26" s="4" t="s">
        <v>192</v>
      </c>
      <c r="L26" s="4" t="s">
        <v>49</v>
      </c>
      <c r="M26" s="4" t="s">
        <v>28</v>
      </c>
      <c r="N26" s="4" t="s">
        <v>193</v>
      </c>
      <c r="O26" s="4"/>
    </row>
    <row r="27" customFormat="false" ht="15" hidden="false" customHeight="false" outlineLevel="0" collapsed="false">
      <c r="A27" s="4" t="n">
        <v>23</v>
      </c>
      <c r="B27" s="10" t="s">
        <v>125</v>
      </c>
      <c r="C27" s="4" t="s">
        <v>194</v>
      </c>
      <c r="D27" s="6" t="s">
        <v>195</v>
      </c>
      <c r="E27" s="4" t="s">
        <v>196</v>
      </c>
      <c r="F27" s="4" t="s">
        <v>197</v>
      </c>
      <c r="G27" s="4" t="s">
        <v>149</v>
      </c>
      <c r="H27" s="4" t="s">
        <v>23</v>
      </c>
      <c r="I27" s="4" t="s">
        <v>175</v>
      </c>
      <c r="J27" s="4" t="s">
        <v>56</v>
      </c>
      <c r="K27" s="4" t="s">
        <v>198</v>
      </c>
      <c r="L27" s="7" t="s">
        <v>27</v>
      </c>
      <c r="M27" s="4" t="s">
        <v>28</v>
      </c>
      <c r="N27" s="4" t="s">
        <v>40</v>
      </c>
      <c r="O27" s="4" t="s">
        <v>199</v>
      </c>
    </row>
    <row r="28" customFormat="false" ht="22.35" hidden="false" customHeight="false" outlineLevel="0" collapsed="false">
      <c r="A28" s="4" t="n">
        <v>24</v>
      </c>
      <c r="B28" s="10" t="s">
        <v>125</v>
      </c>
      <c r="C28" s="4" t="s">
        <v>200</v>
      </c>
      <c r="D28" s="6" t="s">
        <v>201</v>
      </c>
      <c r="E28" s="4" t="s">
        <v>202</v>
      </c>
      <c r="F28" s="4" t="s">
        <v>203</v>
      </c>
      <c r="G28" s="4" t="s">
        <v>204</v>
      </c>
      <c r="H28" s="4" t="s">
        <v>23</v>
      </c>
      <c r="I28" s="4" t="s">
        <v>175</v>
      </c>
      <c r="J28" s="4" t="s">
        <v>56</v>
      </c>
      <c r="K28" s="4" t="s">
        <v>205</v>
      </c>
      <c r="L28" s="4" t="s">
        <v>49</v>
      </c>
      <c r="M28" s="4" t="s">
        <v>58</v>
      </c>
      <c r="N28" s="4" t="s">
        <v>40</v>
      </c>
      <c r="O28" s="4"/>
    </row>
    <row r="29" customFormat="false" ht="22.35" hidden="false" customHeight="false" outlineLevel="0" collapsed="false">
      <c r="A29" s="4" t="n">
        <v>25</v>
      </c>
      <c r="B29" s="10" t="s">
        <v>125</v>
      </c>
      <c r="C29" s="4" t="s">
        <v>206</v>
      </c>
      <c r="D29" s="6" t="s">
        <v>207</v>
      </c>
      <c r="E29" s="4" t="s">
        <v>208</v>
      </c>
      <c r="F29" s="4" t="s">
        <v>209</v>
      </c>
      <c r="G29" s="4" t="s">
        <v>168</v>
      </c>
      <c r="H29" s="4" t="s">
        <v>23</v>
      </c>
      <c r="I29" s="4" t="s">
        <v>75</v>
      </c>
      <c r="J29" s="4" t="s">
        <v>56</v>
      </c>
      <c r="K29" s="4" t="s">
        <v>210</v>
      </c>
      <c r="L29" s="4" t="s">
        <v>211</v>
      </c>
      <c r="M29" s="4" t="s">
        <v>58</v>
      </c>
      <c r="N29" s="4" t="s">
        <v>91</v>
      </c>
      <c r="O29" s="4" t="s">
        <v>212</v>
      </c>
    </row>
    <row r="30" customFormat="false" ht="22.35" hidden="false" customHeight="false" outlineLevel="0" collapsed="false">
      <c r="A30" s="4" t="n">
        <v>26</v>
      </c>
      <c r="B30" s="10" t="s">
        <v>125</v>
      </c>
      <c r="C30" s="4" t="s">
        <v>213</v>
      </c>
      <c r="D30" s="6" t="s">
        <v>214</v>
      </c>
      <c r="E30" s="4" t="s">
        <v>215</v>
      </c>
      <c r="F30" s="4" t="s">
        <v>216</v>
      </c>
      <c r="G30" s="4" t="s">
        <v>217</v>
      </c>
      <c r="H30" s="4" t="s">
        <v>23</v>
      </c>
      <c r="I30" s="4" t="s">
        <v>116</v>
      </c>
      <c r="J30" s="4" t="s">
        <v>56</v>
      </c>
      <c r="K30" s="4" t="s">
        <v>57</v>
      </c>
      <c r="L30" s="8" t="s">
        <v>58</v>
      </c>
      <c r="M30" s="4" t="s">
        <v>28</v>
      </c>
      <c r="N30" s="4" t="s">
        <v>218</v>
      </c>
      <c r="O30" s="4" t="s">
        <v>219</v>
      </c>
    </row>
    <row r="31" customFormat="false" ht="22.35" hidden="false" customHeight="false" outlineLevel="0" collapsed="false">
      <c r="A31" s="4" t="n">
        <v>27</v>
      </c>
      <c r="B31" s="11" t="s">
        <v>220</v>
      </c>
      <c r="C31" s="4" t="s">
        <v>221</v>
      </c>
      <c r="D31" s="6" t="s">
        <v>222</v>
      </c>
      <c r="E31" s="4" t="s">
        <v>223</v>
      </c>
      <c r="F31" s="4" t="s">
        <v>224</v>
      </c>
      <c r="G31" s="4" t="s">
        <v>225</v>
      </c>
      <c r="H31" s="4" t="s">
        <v>23</v>
      </c>
      <c r="I31" s="4" t="s">
        <v>98</v>
      </c>
      <c r="J31" s="4" t="s">
        <v>56</v>
      </c>
      <c r="K31" s="4" t="s">
        <v>66</v>
      </c>
      <c r="L31" s="8" t="s">
        <v>58</v>
      </c>
      <c r="M31" s="4" t="s">
        <v>28</v>
      </c>
      <c r="N31" s="4" t="s">
        <v>226</v>
      </c>
      <c r="O31" s="4" t="s">
        <v>227</v>
      </c>
    </row>
    <row r="32" customFormat="false" ht="22.35" hidden="false" customHeight="false" outlineLevel="0" collapsed="false">
      <c r="A32" s="4" t="n">
        <v>28</v>
      </c>
      <c r="B32" s="11" t="s">
        <v>220</v>
      </c>
      <c r="C32" s="4" t="s">
        <v>228</v>
      </c>
      <c r="D32" s="6" t="s">
        <v>229</v>
      </c>
      <c r="E32" s="4" t="s">
        <v>230</v>
      </c>
      <c r="F32" s="4" t="s">
        <v>231</v>
      </c>
      <c r="G32" s="4" t="s">
        <v>168</v>
      </c>
      <c r="H32" s="4" t="s">
        <v>23</v>
      </c>
      <c r="I32" s="4" t="s">
        <v>98</v>
      </c>
      <c r="J32" s="4" t="s">
        <v>56</v>
      </c>
      <c r="K32" s="4" t="s">
        <v>66</v>
      </c>
      <c r="L32" s="8" t="s">
        <v>58</v>
      </c>
      <c r="M32" s="4" t="s">
        <v>58</v>
      </c>
      <c r="N32" s="4" t="s">
        <v>232</v>
      </c>
      <c r="O32" s="4"/>
    </row>
    <row r="33" customFormat="false" ht="22.35" hidden="false" customHeight="false" outlineLevel="0" collapsed="false">
      <c r="A33" s="4" t="n">
        <v>29</v>
      </c>
      <c r="B33" s="11" t="s">
        <v>220</v>
      </c>
      <c r="C33" s="4" t="s">
        <v>233</v>
      </c>
      <c r="D33" s="6" t="s">
        <v>234</v>
      </c>
      <c r="E33" s="4" t="s">
        <v>235</v>
      </c>
      <c r="F33" s="4" t="s">
        <v>236</v>
      </c>
      <c r="G33" s="4" t="s">
        <v>174</v>
      </c>
      <c r="H33" s="4" t="s">
        <v>23</v>
      </c>
      <c r="I33" s="4" t="s">
        <v>116</v>
      </c>
      <c r="J33" s="4" t="s">
        <v>56</v>
      </c>
      <c r="K33" s="4" t="s">
        <v>57</v>
      </c>
      <c r="L33" s="8" t="s">
        <v>58</v>
      </c>
      <c r="M33" s="4" t="s">
        <v>58</v>
      </c>
      <c r="N33" s="4" t="s">
        <v>237</v>
      </c>
      <c r="O33" s="4"/>
    </row>
    <row r="34" customFormat="false" ht="22.35" hidden="false" customHeight="false" outlineLevel="0" collapsed="false">
      <c r="A34" s="4" t="n">
        <v>30</v>
      </c>
      <c r="B34" s="11" t="s">
        <v>220</v>
      </c>
      <c r="C34" s="4" t="s">
        <v>238</v>
      </c>
      <c r="D34" s="6" t="s">
        <v>239</v>
      </c>
      <c r="E34" s="4" t="s">
        <v>240</v>
      </c>
      <c r="F34" s="4" t="s">
        <v>241</v>
      </c>
      <c r="G34" s="4" t="s">
        <v>22</v>
      </c>
      <c r="H34" s="4" t="s">
        <v>23</v>
      </c>
      <c r="I34" s="4" t="s">
        <v>98</v>
      </c>
      <c r="J34" s="4" t="s">
        <v>56</v>
      </c>
      <c r="K34" s="4" t="s">
        <v>57</v>
      </c>
      <c r="L34" s="8" t="s">
        <v>58</v>
      </c>
      <c r="M34" s="4" t="s">
        <v>28</v>
      </c>
      <c r="N34" s="4" t="s">
        <v>178</v>
      </c>
      <c r="O34" s="4" t="s">
        <v>242</v>
      </c>
    </row>
    <row r="35" customFormat="false" ht="32.8" hidden="false" customHeight="false" outlineLevel="0" collapsed="false">
      <c r="A35" s="4" t="n">
        <v>31</v>
      </c>
      <c r="B35" s="11" t="s">
        <v>220</v>
      </c>
      <c r="C35" s="4" t="s">
        <v>243</v>
      </c>
      <c r="D35" s="6" t="s">
        <v>244</v>
      </c>
      <c r="E35" s="4" t="s">
        <v>245</v>
      </c>
      <c r="F35" s="4" t="s">
        <v>246</v>
      </c>
      <c r="G35" s="4" t="s">
        <v>247</v>
      </c>
      <c r="H35" s="4" t="s">
        <v>23</v>
      </c>
      <c r="I35" s="4" t="s">
        <v>116</v>
      </c>
      <c r="J35" s="4" t="s">
        <v>56</v>
      </c>
      <c r="K35" s="4" t="s">
        <v>66</v>
      </c>
      <c r="L35" s="8" t="s">
        <v>58</v>
      </c>
      <c r="M35" s="4" t="s">
        <v>58</v>
      </c>
      <c r="N35" s="4" t="s">
        <v>226</v>
      </c>
      <c r="O35" s="4" t="s">
        <v>248</v>
      </c>
    </row>
    <row r="36" customFormat="false" ht="22.35" hidden="false" customHeight="false" outlineLevel="0" collapsed="false">
      <c r="A36" s="4" t="n">
        <v>32</v>
      </c>
      <c r="B36" s="11" t="s">
        <v>220</v>
      </c>
      <c r="C36" s="4" t="s">
        <v>249</v>
      </c>
      <c r="D36" s="6" t="s">
        <v>250</v>
      </c>
      <c r="E36" s="4" t="s">
        <v>251</v>
      </c>
      <c r="F36" s="4" t="s">
        <v>252</v>
      </c>
      <c r="G36" s="4" t="s">
        <v>184</v>
      </c>
      <c r="H36" s="4" t="s">
        <v>23</v>
      </c>
      <c r="I36" s="4" t="s">
        <v>253</v>
      </c>
      <c r="J36" s="4" t="s">
        <v>56</v>
      </c>
      <c r="K36" s="4" t="s">
        <v>254</v>
      </c>
      <c r="L36" s="4" t="s">
        <v>49</v>
      </c>
      <c r="M36" s="4" t="s">
        <v>28</v>
      </c>
      <c r="N36" s="4" t="s">
        <v>255</v>
      </c>
      <c r="O36" s="4" t="s">
        <v>256</v>
      </c>
    </row>
    <row r="37" customFormat="false" ht="22.35" hidden="false" customHeight="false" outlineLevel="0" collapsed="false">
      <c r="A37" s="4" t="n">
        <v>33</v>
      </c>
      <c r="B37" s="12" t="s">
        <v>257</v>
      </c>
      <c r="C37" s="4" t="s">
        <v>258</v>
      </c>
      <c r="D37" s="6" t="s">
        <v>259</v>
      </c>
      <c r="E37" s="4" t="s">
        <v>260</v>
      </c>
      <c r="F37" s="4" t="s">
        <v>261</v>
      </c>
      <c r="G37" s="4" t="s">
        <v>65</v>
      </c>
      <c r="H37" s="4" t="s">
        <v>23</v>
      </c>
      <c r="I37" s="4" t="s">
        <v>262</v>
      </c>
      <c r="J37" s="4" t="s">
        <v>56</v>
      </c>
      <c r="K37" s="4" t="s">
        <v>66</v>
      </c>
      <c r="L37" s="8" t="s">
        <v>58</v>
      </c>
      <c r="M37" s="4" t="s">
        <v>28</v>
      </c>
      <c r="N37" s="4" t="s">
        <v>263</v>
      </c>
      <c r="O37" s="4" t="s">
        <v>264</v>
      </c>
    </row>
    <row r="38" customFormat="false" ht="22.35" hidden="false" customHeight="false" outlineLevel="0" collapsed="false">
      <c r="A38" s="4" t="n">
        <v>34</v>
      </c>
      <c r="B38" s="13" t="s">
        <v>265</v>
      </c>
      <c r="C38" s="4" t="s">
        <v>266</v>
      </c>
      <c r="D38" s="6" t="s">
        <v>267</v>
      </c>
      <c r="E38" s="4" t="s">
        <v>268</v>
      </c>
      <c r="F38" s="4" t="s">
        <v>269</v>
      </c>
      <c r="G38" s="4" t="s">
        <v>156</v>
      </c>
      <c r="H38" s="4" t="s">
        <v>270</v>
      </c>
      <c r="I38" s="4" t="s">
        <v>24</v>
      </c>
      <c r="J38" s="4" t="s">
        <v>57</v>
      </c>
      <c r="K38" s="4" t="s">
        <v>271</v>
      </c>
      <c r="L38" s="4" t="s">
        <v>272</v>
      </c>
      <c r="M38" s="4" t="s">
        <v>28</v>
      </c>
      <c r="N38" s="4" t="s">
        <v>273</v>
      </c>
      <c r="O38" s="4" t="s">
        <v>274</v>
      </c>
    </row>
    <row r="39" customFormat="false" ht="22.35" hidden="false" customHeight="false" outlineLevel="0" collapsed="false">
      <c r="A39" s="4" t="n">
        <v>35</v>
      </c>
      <c r="B39" s="13" t="s">
        <v>265</v>
      </c>
      <c r="C39" s="4" t="s">
        <v>275</v>
      </c>
      <c r="D39" s="6" t="s">
        <v>275</v>
      </c>
      <c r="E39" s="4" t="s">
        <v>276</v>
      </c>
      <c r="F39" s="4" t="s">
        <v>277</v>
      </c>
      <c r="G39" s="4" t="s">
        <v>278</v>
      </c>
      <c r="H39" s="4" t="s">
        <v>23</v>
      </c>
      <c r="I39" s="4" t="s">
        <v>116</v>
      </c>
      <c r="J39" s="4" t="s">
        <v>57</v>
      </c>
      <c r="K39" s="4" t="s">
        <v>57</v>
      </c>
      <c r="L39" s="8" t="s">
        <v>58</v>
      </c>
      <c r="M39" s="4" t="s">
        <v>58</v>
      </c>
      <c r="N39" s="4" t="s">
        <v>279</v>
      </c>
      <c r="O39" s="4"/>
    </row>
    <row r="40" customFormat="false" ht="22.35" hidden="false" customHeight="false" outlineLevel="0" collapsed="false">
      <c r="A40" s="4" t="n">
        <v>36</v>
      </c>
      <c r="B40" s="13" t="s">
        <v>265</v>
      </c>
      <c r="C40" s="4" t="s">
        <v>280</v>
      </c>
      <c r="D40" s="6" t="s">
        <v>281</v>
      </c>
      <c r="E40" s="4" t="s">
        <v>282</v>
      </c>
      <c r="F40" s="4" t="s">
        <v>283</v>
      </c>
      <c r="G40" s="4" t="s">
        <v>284</v>
      </c>
      <c r="H40" s="4" t="s">
        <v>23</v>
      </c>
      <c r="I40" s="4" t="s">
        <v>24</v>
      </c>
      <c r="J40" s="4" t="s">
        <v>57</v>
      </c>
      <c r="K40" s="4" t="s">
        <v>57</v>
      </c>
      <c r="L40" s="4" t="s">
        <v>272</v>
      </c>
      <c r="M40" s="4" t="s">
        <v>28</v>
      </c>
      <c r="N40" s="4" t="s">
        <v>40</v>
      </c>
      <c r="O40" s="4"/>
    </row>
    <row r="41" customFormat="false" ht="22.35" hidden="false" customHeight="false" outlineLevel="0" collapsed="false">
      <c r="A41" s="4" t="n">
        <v>37</v>
      </c>
      <c r="B41" s="13" t="s">
        <v>265</v>
      </c>
      <c r="C41" s="4" t="s">
        <v>285</v>
      </c>
      <c r="D41" s="6" t="s">
        <v>286</v>
      </c>
      <c r="E41" s="4" t="s">
        <v>287</v>
      </c>
      <c r="F41" s="4" t="s">
        <v>288</v>
      </c>
      <c r="G41" s="4" t="s">
        <v>57</v>
      </c>
      <c r="H41" s="4" t="s">
        <v>289</v>
      </c>
      <c r="I41" s="4" t="s">
        <v>175</v>
      </c>
      <c r="J41" s="4" t="s">
        <v>57</v>
      </c>
      <c r="K41" s="4" t="s">
        <v>57</v>
      </c>
      <c r="L41" s="4" t="s">
        <v>272</v>
      </c>
      <c r="M41" s="4" t="s">
        <v>28</v>
      </c>
      <c r="N41" s="4" t="s">
        <v>40</v>
      </c>
      <c r="O41" s="4"/>
    </row>
    <row r="42" customFormat="false" ht="22.35" hidden="false" customHeight="false" outlineLevel="0" collapsed="false">
      <c r="A42" s="4" t="n">
        <v>38</v>
      </c>
      <c r="B42" s="13" t="s">
        <v>265</v>
      </c>
      <c r="C42" s="4" t="s">
        <v>290</v>
      </c>
      <c r="D42" s="6" t="s">
        <v>291</v>
      </c>
      <c r="E42" s="4" t="s">
        <v>292</v>
      </c>
      <c r="F42" s="4" t="s">
        <v>293</v>
      </c>
      <c r="G42" s="4" t="s">
        <v>294</v>
      </c>
      <c r="H42" s="4" t="s">
        <v>23</v>
      </c>
      <c r="I42" s="4" t="s">
        <v>295</v>
      </c>
      <c r="J42" s="4" t="s">
        <v>57</v>
      </c>
      <c r="K42" s="4" t="s">
        <v>57</v>
      </c>
      <c r="L42" s="4" t="s">
        <v>296</v>
      </c>
      <c r="M42" s="4" t="s">
        <v>28</v>
      </c>
      <c r="N42" s="4" t="s">
        <v>297</v>
      </c>
      <c r="O42" s="4" t="s">
        <v>298</v>
      </c>
    </row>
    <row r="43" customFormat="false" ht="32.8" hidden="false" customHeight="false" outlineLevel="0" collapsed="false">
      <c r="A43" s="4" t="n">
        <v>39</v>
      </c>
      <c r="B43" s="5" t="s">
        <v>299</v>
      </c>
      <c r="C43" s="4" t="s">
        <v>300</v>
      </c>
      <c r="D43" s="6" t="s">
        <v>301</v>
      </c>
      <c r="E43" s="4" t="s">
        <v>302</v>
      </c>
      <c r="F43" s="4" t="s">
        <v>303</v>
      </c>
      <c r="G43" s="4" t="s">
        <v>278</v>
      </c>
      <c r="H43" s="4" t="s">
        <v>23</v>
      </c>
      <c r="I43" s="4" t="s">
        <v>24</v>
      </c>
      <c r="J43" s="4" t="s">
        <v>56</v>
      </c>
      <c r="K43" s="4" t="s">
        <v>57</v>
      </c>
      <c r="L43" s="8" t="s">
        <v>58</v>
      </c>
      <c r="M43" s="4" t="s">
        <v>83</v>
      </c>
      <c r="N43" s="4" t="s">
        <v>40</v>
      </c>
      <c r="O43" s="4" t="s">
        <v>304</v>
      </c>
    </row>
    <row r="44" customFormat="false" ht="22.35" hidden="false" customHeight="false" outlineLevel="0" collapsed="false">
      <c r="A44" s="4" t="n">
        <v>40</v>
      </c>
      <c r="B44" s="5" t="s">
        <v>299</v>
      </c>
      <c r="C44" s="4" t="s">
        <v>305</v>
      </c>
      <c r="D44" s="6" t="s">
        <v>306</v>
      </c>
      <c r="E44" s="4" t="s">
        <v>307</v>
      </c>
      <c r="F44" s="4" t="s">
        <v>308</v>
      </c>
      <c r="G44" s="4" t="s">
        <v>278</v>
      </c>
      <c r="H44" s="4" t="s">
        <v>23</v>
      </c>
      <c r="I44" s="4" t="s">
        <v>309</v>
      </c>
      <c r="J44" s="4" t="s">
        <v>56</v>
      </c>
      <c r="K44" s="4" t="s">
        <v>57</v>
      </c>
      <c r="L44" s="8" t="s">
        <v>58</v>
      </c>
      <c r="M44" s="4" t="s">
        <v>83</v>
      </c>
      <c r="N44" s="4" t="s">
        <v>40</v>
      </c>
      <c r="O44" s="4"/>
    </row>
    <row r="45" customFormat="false" ht="22.35" hidden="false" customHeight="false" outlineLevel="0" collapsed="false">
      <c r="A45" s="4" t="n">
        <v>41</v>
      </c>
      <c r="B45" s="5" t="s">
        <v>299</v>
      </c>
      <c r="C45" s="4" t="s">
        <v>310</v>
      </c>
      <c r="D45" s="6" t="s">
        <v>311</v>
      </c>
      <c r="E45" s="4" t="s">
        <v>312</v>
      </c>
      <c r="F45" s="4" t="s">
        <v>313</v>
      </c>
      <c r="G45" s="4" t="s">
        <v>225</v>
      </c>
      <c r="H45" s="4" t="s">
        <v>23</v>
      </c>
      <c r="I45" s="4" t="s">
        <v>314</v>
      </c>
      <c r="J45" s="4" t="s">
        <v>56</v>
      </c>
      <c r="K45" s="4" t="s">
        <v>57</v>
      </c>
      <c r="L45" s="8" t="s">
        <v>58</v>
      </c>
      <c r="M45" s="4" t="s">
        <v>28</v>
      </c>
      <c r="N45" s="4" t="s">
        <v>315</v>
      </c>
      <c r="O45" s="4" t="s">
        <v>316</v>
      </c>
    </row>
    <row r="46" customFormat="false" ht="22.35" hidden="false" customHeight="false" outlineLevel="0" collapsed="false">
      <c r="A46" s="4" t="n">
        <v>42</v>
      </c>
      <c r="B46" s="12" t="s">
        <v>317</v>
      </c>
      <c r="C46" s="4" t="s">
        <v>318</v>
      </c>
      <c r="D46" s="6" t="s">
        <v>319</v>
      </c>
      <c r="E46" s="4" t="s">
        <v>320</v>
      </c>
      <c r="F46" s="4" t="s">
        <v>321</v>
      </c>
      <c r="G46" s="4" t="s">
        <v>322</v>
      </c>
      <c r="H46" s="4" t="s">
        <v>23</v>
      </c>
      <c r="I46" s="4" t="s">
        <v>24</v>
      </c>
      <c r="J46" s="4" t="s">
        <v>56</v>
      </c>
      <c r="K46" s="4" t="s">
        <v>57</v>
      </c>
      <c r="L46" s="8" t="s">
        <v>58</v>
      </c>
      <c r="M46" s="4" t="s">
        <v>323</v>
      </c>
      <c r="N46" s="4" t="s">
        <v>324</v>
      </c>
      <c r="O46" s="4" t="s">
        <v>325</v>
      </c>
    </row>
    <row r="47" customFormat="false" ht="22.35" hidden="false" customHeight="false" outlineLevel="0" collapsed="false">
      <c r="A47" s="4" t="n">
        <v>43</v>
      </c>
      <c r="B47" s="12" t="s">
        <v>317</v>
      </c>
      <c r="C47" s="4" t="s">
        <v>326</v>
      </c>
      <c r="D47" s="6" t="s">
        <v>327</v>
      </c>
      <c r="E47" s="4" t="s">
        <v>328</v>
      </c>
      <c r="F47" s="4" t="s">
        <v>329</v>
      </c>
      <c r="G47" s="4" t="s">
        <v>330</v>
      </c>
      <c r="H47" s="4" t="s">
        <v>23</v>
      </c>
      <c r="I47" s="4" t="s">
        <v>24</v>
      </c>
      <c r="J47" s="4" t="s">
        <v>56</v>
      </c>
      <c r="K47" s="4" t="s">
        <v>57</v>
      </c>
      <c r="L47" s="8" t="s">
        <v>58</v>
      </c>
      <c r="M47" s="4" t="s">
        <v>67</v>
      </c>
      <c r="N47" s="4" t="s">
        <v>331</v>
      </c>
      <c r="O47" s="4"/>
    </row>
    <row r="48" customFormat="false" ht="22.35" hidden="false" customHeight="false" outlineLevel="0" collapsed="false">
      <c r="A48" s="4" t="n">
        <v>44</v>
      </c>
      <c r="B48" s="9" t="s">
        <v>332</v>
      </c>
      <c r="C48" s="4" t="s">
        <v>333</v>
      </c>
      <c r="D48" s="6" t="s">
        <v>334</v>
      </c>
      <c r="E48" s="4" t="s">
        <v>335</v>
      </c>
      <c r="F48" s="4" t="s">
        <v>336</v>
      </c>
      <c r="G48" s="4" t="s">
        <v>22</v>
      </c>
      <c r="H48" s="4" t="s">
        <v>23</v>
      </c>
      <c r="I48" s="4" t="s">
        <v>75</v>
      </c>
      <c r="J48" s="4" t="s">
        <v>56</v>
      </c>
      <c r="K48" s="4" t="s">
        <v>57</v>
      </c>
      <c r="L48" s="8" t="s">
        <v>58</v>
      </c>
      <c r="M48" s="4" t="s">
        <v>58</v>
      </c>
      <c r="N48" s="4" t="s">
        <v>100</v>
      </c>
      <c r="O48" s="4" t="s">
        <v>337</v>
      </c>
    </row>
    <row r="49" customFormat="false" ht="22.35" hidden="false" customHeight="false" outlineLevel="0" collapsed="false">
      <c r="A49" s="4" t="n">
        <v>45</v>
      </c>
      <c r="B49" s="9" t="s">
        <v>332</v>
      </c>
      <c r="C49" s="4" t="s">
        <v>338</v>
      </c>
      <c r="D49" s="6" t="s">
        <v>339</v>
      </c>
      <c r="E49" s="4" t="s">
        <v>340</v>
      </c>
      <c r="F49" s="4" t="s">
        <v>341</v>
      </c>
      <c r="G49" s="4" t="s">
        <v>156</v>
      </c>
      <c r="H49" s="4" t="s">
        <v>23</v>
      </c>
      <c r="I49" s="4" t="s">
        <v>342</v>
      </c>
      <c r="J49" s="4" t="s">
        <v>56</v>
      </c>
      <c r="K49" s="4" t="s">
        <v>343</v>
      </c>
      <c r="L49" s="4" t="s">
        <v>49</v>
      </c>
      <c r="M49" s="4" t="s">
        <v>28</v>
      </c>
      <c r="N49" s="4" t="s">
        <v>100</v>
      </c>
      <c r="O49" s="4"/>
    </row>
    <row r="50" customFormat="false" ht="22.35" hidden="false" customHeight="false" outlineLevel="0" collapsed="false">
      <c r="A50" s="4" t="n">
        <v>46</v>
      </c>
      <c r="B50" s="9" t="s">
        <v>332</v>
      </c>
      <c r="C50" s="4" t="s">
        <v>344</v>
      </c>
      <c r="D50" s="6" t="s">
        <v>345</v>
      </c>
      <c r="E50" s="4" t="s">
        <v>346</v>
      </c>
      <c r="F50" s="4" t="s">
        <v>347</v>
      </c>
      <c r="G50" s="4" t="s">
        <v>136</v>
      </c>
      <c r="H50" s="4" t="s">
        <v>23</v>
      </c>
      <c r="I50" s="4" t="s">
        <v>175</v>
      </c>
      <c r="J50" s="4" t="s">
        <v>56</v>
      </c>
      <c r="K50" s="4" t="s">
        <v>348</v>
      </c>
      <c r="L50" s="7" t="s">
        <v>27</v>
      </c>
      <c r="M50" s="4" t="s">
        <v>28</v>
      </c>
      <c r="N50" s="4" t="s">
        <v>100</v>
      </c>
      <c r="O50" s="4"/>
    </row>
    <row r="51" customFormat="false" ht="22.35" hidden="false" customHeight="false" outlineLevel="0" collapsed="false">
      <c r="A51" s="4" t="n">
        <v>47</v>
      </c>
      <c r="B51" s="9" t="s">
        <v>332</v>
      </c>
      <c r="C51" s="4" t="s">
        <v>349</v>
      </c>
      <c r="D51" s="6" t="s">
        <v>57</v>
      </c>
      <c r="E51" s="4" t="s">
        <v>350</v>
      </c>
      <c r="F51" s="4" t="s">
        <v>351</v>
      </c>
      <c r="G51" s="4" t="s">
        <v>352</v>
      </c>
      <c r="H51" s="4" t="s">
        <v>23</v>
      </c>
      <c r="I51" s="4" t="s">
        <v>353</v>
      </c>
      <c r="J51" s="4" t="s">
        <v>57</v>
      </c>
      <c r="K51" s="4" t="s">
        <v>57</v>
      </c>
      <c r="L51" s="4" t="s">
        <v>354</v>
      </c>
      <c r="M51" s="4" t="s">
        <v>57</v>
      </c>
      <c r="N51" s="4" t="s">
        <v>355</v>
      </c>
      <c r="O51" s="4" t="s">
        <v>356</v>
      </c>
    </row>
    <row r="52" customFormat="false" ht="22.35" hidden="false" customHeight="false" outlineLevel="0" collapsed="false">
      <c r="A52" s="4" t="n">
        <v>48</v>
      </c>
      <c r="B52" s="10" t="s">
        <v>357</v>
      </c>
      <c r="C52" s="4" t="s">
        <v>358</v>
      </c>
      <c r="D52" s="6" t="s">
        <v>359</v>
      </c>
      <c r="E52" s="4" t="s">
        <v>360</v>
      </c>
      <c r="F52" s="4" t="s">
        <v>361</v>
      </c>
      <c r="G52" s="4" t="s">
        <v>362</v>
      </c>
      <c r="H52" s="4" t="s">
        <v>23</v>
      </c>
      <c r="I52" s="4" t="s">
        <v>253</v>
      </c>
      <c r="J52" s="4" t="s">
        <v>57</v>
      </c>
      <c r="K52" s="4" t="s">
        <v>363</v>
      </c>
      <c r="L52" s="7" t="s">
        <v>27</v>
      </c>
      <c r="M52" s="4" t="s">
        <v>28</v>
      </c>
      <c r="N52" s="4" t="s">
        <v>100</v>
      </c>
      <c r="O52" s="4" t="s">
        <v>364</v>
      </c>
    </row>
    <row r="53" customFormat="false" ht="32.8" hidden="false" customHeight="false" outlineLevel="0" collapsed="false">
      <c r="A53" s="4" t="n">
        <v>49</v>
      </c>
      <c r="B53" s="14" t="s">
        <v>365</v>
      </c>
      <c r="C53" s="4" t="s">
        <v>366</v>
      </c>
      <c r="D53" s="6" t="s">
        <v>367</v>
      </c>
      <c r="E53" s="4" t="s">
        <v>368</v>
      </c>
      <c r="F53" s="4" t="s">
        <v>369</v>
      </c>
      <c r="G53" s="4" t="s">
        <v>370</v>
      </c>
      <c r="H53" s="4" t="s">
        <v>23</v>
      </c>
      <c r="I53" s="4" t="s">
        <v>57</v>
      </c>
      <c r="J53" s="4" t="s">
        <v>57</v>
      </c>
      <c r="K53" s="4" t="s">
        <v>371</v>
      </c>
      <c r="L53" s="4" t="s">
        <v>372</v>
      </c>
      <c r="M53" s="4" t="s">
        <v>28</v>
      </c>
      <c r="N53" s="15" t="s">
        <v>365</v>
      </c>
      <c r="O53" s="4" t="s">
        <v>373</v>
      </c>
    </row>
    <row r="54" customFormat="false" ht="22.35" hidden="false" customHeight="false" outlineLevel="0" collapsed="false">
      <c r="A54" s="4" t="n">
        <v>50</v>
      </c>
      <c r="B54" s="14" t="s">
        <v>365</v>
      </c>
      <c r="C54" s="4" t="s">
        <v>374</v>
      </c>
      <c r="D54" s="6" t="s">
        <v>375</v>
      </c>
      <c r="E54" s="4" t="s">
        <v>376</v>
      </c>
      <c r="F54" s="4" t="s">
        <v>377</v>
      </c>
      <c r="G54" s="4" t="s">
        <v>378</v>
      </c>
      <c r="H54" s="4" t="s">
        <v>23</v>
      </c>
      <c r="I54" s="4" t="s">
        <v>57</v>
      </c>
      <c r="J54" s="4" t="s">
        <v>57</v>
      </c>
      <c r="K54" s="4" t="s">
        <v>163</v>
      </c>
      <c r="L54" s="4" t="s">
        <v>372</v>
      </c>
      <c r="M54" s="4" t="s">
        <v>28</v>
      </c>
      <c r="N54" s="15" t="s">
        <v>365</v>
      </c>
      <c r="O54" s="4" t="s">
        <v>379</v>
      </c>
    </row>
    <row r="55" customFormat="false" ht="22.35" hidden="false" customHeight="false" outlineLevel="0" collapsed="false">
      <c r="A55" s="4" t="n">
        <v>51</v>
      </c>
      <c r="B55" s="14" t="s">
        <v>365</v>
      </c>
      <c r="C55" s="4" t="s">
        <v>380</v>
      </c>
      <c r="D55" s="6" t="s">
        <v>57</v>
      </c>
      <c r="E55" s="4" t="s">
        <v>381</v>
      </c>
      <c r="F55" s="4" t="s">
        <v>382</v>
      </c>
      <c r="G55" s="4" t="s">
        <v>57</v>
      </c>
      <c r="H55" s="4" t="s">
        <v>23</v>
      </c>
      <c r="I55" s="4" t="s">
        <v>57</v>
      </c>
      <c r="J55" s="4" t="s">
        <v>57</v>
      </c>
      <c r="K55" s="4" t="s">
        <v>383</v>
      </c>
      <c r="L55" s="4" t="s">
        <v>57</v>
      </c>
      <c r="M55" s="4" t="s">
        <v>57</v>
      </c>
      <c r="N55" s="15" t="s">
        <v>384</v>
      </c>
      <c r="O55" s="4" t="s">
        <v>385</v>
      </c>
    </row>
  </sheetData>
  <autoFilter ref="A4:O55"/>
  <mergeCells count="1"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8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6" t="s">
        <v>386</v>
      </c>
    </row>
    <row r="2" customFormat="false" ht="15" hidden="false" customHeight="false" outlineLevel="0" collapsed="false">
      <c r="A2" s="17" t="s">
        <v>387</v>
      </c>
    </row>
    <row r="3" customFormat="false" ht="15" hidden="false" customHeight="false" outlineLevel="0" collapsed="false">
      <c r="A3" s="18" t="s">
        <v>388</v>
      </c>
    </row>
    <row r="4" customFormat="false" ht="22.35" hidden="false" customHeight="false" outlineLevel="0" collapsed="false">
      <c r="A4" s="19" t="s">
        <v>389</v>
      </c>
      <c r="B4" s="20" t="n">
        <v>5</v>
      </c>
      <c r="C4" s="21" t="s">
        <v>390</v>
      </c>
    </row>
    <row r="5" customFormat="false" ht="22.35" hidden="false" customHeight="false" outlineLevel="0" collapsed="false">
      <c r="A5" s="19" t="s">
        <v>391</v>
      </c>
      <c r="B5" s="20" t="n">
        <v>0.92</v>
      </c>
      <c r="C5" s="21" t="s">
        <v>392</v>
      </c>
    </row>
    <row r="6" customFormat="false" ht="15" hidden="false" customHeight="false" outlineLevel="0" collapsed="false">
      <c r="A6" s="19" t="s">
        <v>393</v>
      </c>
      <c r="B6" s="20" t="n">
        <v>8</v>
      </c>
      <c r="C6" s="21" t="s">
        <v>394</v>
      </c>
    </row>
    <row r="7" customFormat="false" ht="15" hidden="false" customHeight="false" outlineLevel="0" collapsed="false">
      <c r="A7" s="19" t="s">
        <v>395</v>
      </c>
      <c r="B7" s="20" t="n">
        <v>14</v>
      </c>
      <c r="C7" s="21" t="s">
        <v>396</v>
      </c>
    </row>
    <row r="8" customFormat="false" ht="15" hidden="false" customHeight="false" outlineLevel="0" collapsed="false">
      <c r="A8" s="19" t="s">
        <v>397</v>
      </c>
      <c r="B8" s="20" t="n">
        <v>7</v>
      </c>
      <c r="C8" s="21" t="s">
        <v>396</v>
      </c>
    </row>
    <row r="9" customFormat="false" ht="15" hidden="false" customHeight="false" outlineLevel="0" collapsed="false">
      <c r="B9" s="22"/>
      <c r="C9" s="22"/>
    </row>
    <row r="10" customFormat="false" ht="15" hidden="false" customHeight="false" outlineLevel="0" collapsed="false">
      <c r="A10" s="18" t="s">
        <v>398</v>
      </c>
      <c r="B10" s="22"/>
      <c r="C10" s="22"/>
    </row>
    <row r="11" customFormat="false" ht="15" hidden="false" customHeight="false" outlineLevel="0" collapsed="false">
      <c r="A11" s="19" t="s">
        <v>399</v>
      </c>
      <c r="B11" s="23" t="n">
        <f aca="false">B4*SQRT(1-B5)</f>
        <v>1.41421356237309</v>
      </c>
      <c r="C11" s="21" t="s">
        <v>400</v>
      </c>
    </row>
    <row r="12" customFormat="false" ht="15" hidden="false" customHeight="false" outlineLevel="0" collapsed="false">
      <c r="A12" s="19" t="s">
        <v>401</v>
      </c>
      <c r="B12" s="23" t="n">
        <f aca="false">SQRT(2)*B11</f>
        <v>2</v>
      </c>
      <c r="C12" s="21" t="s">
        <v>402</v>
      </c>
    </row>
    <row r="13" customFormat="false" ht="15" hidden="false" customHeight="false" outlineLevel="0" collapsed="false">
      <c r="A13" s="19" t="s">
        <v>403</v>
      </c>
      <c r="B13" s="24" t="n">
        <f aca="false">1.96*B12</f>
        <v>3.92</v>
      </c>
      <c r="C13" s="21" t="s">
        <v>404</v>
      </c>
    </row>
    <row r="14" customFormat="false" ht="15" hidden="false" customHeight="false" outlineLevel="0" collapsed="false">
      <c r="A14" s="19" t="s">
        <v>405</v>
      </c>
      <c r="B14" s="25" t="n">
        <f aca="false">B8-B7</f>
        <v>-7</v>
      </c>
      <c r="C14" s="21" t="s">
        <v>406</v>
      </c>
    </row>
    <row r="15" customFormat="false" ht="15" hidden="false" customHeight="false" outlineLevel="0" collapsed="false">
      <c r="A15" s="19" t="s">
        <v>407</v>
      </c>
      <c r="B15" s="23" t="n">
        <f aca="false">B14/B12</f>
        <v>-3.5</v>
      </c>
      <c r="C15" s="21" t="s">
        <v>408</v>
      </c>
    </row>
    <row r="16" customFormat="false" ht="15" hidden="false" customHeight="false" outlineLevel="0" collapsed="false">
      <c r="A16" s="19" t="s">
        <v>409</v>
      </c>
      <c r="B16" s="26" t="str">
        <f aca="false">IF(B15&lt;=-1.96,"Надёжное улучшение",IF(B15&gt;=1.96,"Надёжное ухудшение","Нет надёжного изменения"))</f>
        <v>Надёжное улучшение</v>
      </c>
      <c r="C16" s="21"/>
    </row>
    <row r="17" customFormat="false" ht="23.85" hidden="false" customHeight="false" outlineLevel="0" collapsed="false">
      <c r="A17" s="19" t="s">
        <v>410</v>
      </c>
      <c r="B17" s="26" t="str">
        <f aca="false">IF(AND(B15&lt;=-1.96,B7&gt;=B6,B8&lt;B6),"Выздоровление: надёжное улучшение и ниже порога",IF(B15&lt;=-1.96,"Надёжное улучшение (ещё не ниже порога)",IF(B15&gt;=1.96,"Надёжное ухудшение — проверить причины","Без надёжных изменений")))</f>
        <v>Выздоровление: надёжное улучшение и ниже порога</v>
      </c>
      <c r="C17" s="21" t="s">
        <v>411</v>
      </c>
    </row>
    <row r="19" customFormat="false" ht="39.75" hidden="false" customHeight="true" outlineLevel="0" collapsed="false">
      <c r="A19" s="27" t="s">
        <v>412</v>
      </c>
      <c r="B19" s="27"/>
      <c r="C19" s="27"/>
    </row>
  </sheetData>
  <mergeCells count="1"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6" t="s">
        <v>413</v>
      </c>
    </row>
    <row r="3" customFormat="false" ht="15" hidden="false" customHeight="false" outlineLevel="0" collapsed="false">
      <c r="A3" s="28" t="s">
        <v>27</v>
      </c>
      <c r="B3" s="29" t="s">
        <v>414</v>
      </c>
    </row>
    <row r="4" customFormat="false" ht="23.85" hidden="false" customHeight="false" outlineLevel="0" collapsed="false">
      <c r="A4" s="28" t="s">
        <v>49</v>
      </c>
      <c r="B4" s="29" t="s">
        <v>415</v>
      </c>
    </row>
    <row r="5" customFormat="false" ht="15" hidden="false" customHeight="false" outlineLevel="0" collapsed="false">
      <c r="A5" s="28" t="s">
        <v>58</v>
      </c>
      <c r="B5" s="29" t="s">
        <v>416</v>
      </c>
    </row>
    <row r="6" customFormat="false" ht="15" hidden="false" customHeight="false" outlineLevel="0" collapsed="false">
      <c r="A6" s="28" t="s">
        <v>29</v>
      </c>
      <c r="B6" s="29" t="s">
        <v>417</v>
      </c>
    </row>
    <row r="7" customFormat="false" ht="23.85" hidden="false" customHeight="false" outlineLevel="0" collapsed="false">
      <c r="A7" s="28" t="s">
        <v>91</v>
      </c>
      <c r="B7" s="29" t="s">
        <v>418</v>
      </c>
    </row>
    <row r="8" customFormat="false" ht="15" hidden="false" customHeight="false" outlineLevel="0" collapsed="false">
      <c r="A8" s="28" t="s">
        <v>226</v>
      </c>
      <c r="B8" s="29" t="s">
        <v>419</v>
      </c>
    </row>
    <row r="9" customFormat="false" ht="15" hidden="false" customHeight="false" outlineLevel="0" collapsed="false">
      <c r="A9" s="28" t="s">
        <v>100</v>
      </c>
      <c r="B9" s="29" t="s">
        <v>420</v>
      </c>
    </row>
    <row r="10" customFormat="false" ht="15" hidden="false" customHeight="false" outlineLevel="0" collapsed="false">
      <c r="A10" s="28" t="s">
        <v>365</v>
      </c>
      <c r="B10" s="29" t="s">
        <v>421</v>
      </c>
    </row>
    <row r="13" customFormat="false" ht="16.15" hidden="false" customHeight="false" outlineLevel="0" collapsed="false">
      <c r="A13" s="16" t="s">
        <v>422</v>
      </c>
    </row>
    <row r="14" customFormat="false" ht="15" hidden="false" customHeight="false" outlineLevel="0" collapsed="false">
      <c r="A14" s="28" t="s">
        <v>423</v>
      </c>
      <c r="B14" s="29" t="s">
        <v>424</v>
      </c>
    </row>
    <row r="15" customFormat="false" ht="15" hidden="false" customHeight="false" outlineLevel="0" collapsed="false">
      <c r="A15" s="28" t="s">
        <v>425</v>
      </c>
      <c r="B15" s="29" t="s">
        <v>426</v>
      </c>
    </row>
    <row r="16" customFormat="false" ht="15" hidden="false" customHeight="false" outlineLevel="0" collapsed="false">
      <c r="A16" s="28" t="s">
        <v>427</v>
      </c>
      <c r="B16" s="29" t="s">
        <v>428</v>
      </c>
    </row>
    <row r="17" customFormat="false" ht="15" hidden="false" customHeight="false" outlineLevel="0" collapsed="false">
      <c r="A17" s="28" t="s">
        <v>429</v>
      </c>
      <c r="B17" s="29" t="s">
        <v>430</v>
      </c>
    </row>
    <row r="18" customFormat="false" ht="15" hidden="false" customHeight="false" outlineLevel="0" collapsed="false">
      <c r="A18" s="28" t="s">
        <v>431</v>
      </c>
      <c r="B18" s="29" t="s">
        <v>432</v>
      </c>
    </row>
    <row r="19" customFormat="false" ht="15" hidden="false" customHeight="false" outlineLevel="0" collapsed="false">
      <c r="A19" s="28" t="s">
        <v>433</v>
      </c>
      <c r="B19" s="29" t="s">
        <v>434</v>
      </c>
    </row>
    <row r="20" customFormat="false" ht="15" hidden="false" customHeight="false" outlineLevel="0" collapsed="false">
      <c r="A20" s="28" t="s">
        <v>435</v>
      </c>
      <c r="B20" s="29" t="s">
        <v>436</v>
      </c>
    </row>
    <row r="21" customFormat="false" ht="15" hidden="false" customHeight="false" outlineLevel="0" collapsed="false">
      <c r="A21" s="28" t="s">
        <v>437</v>
      </c>
      <c r="B21" s="29" t="s">
        <v>438</v>
      </c>
    </row>
    <row r="22" customFormat="false" ht="15" hidden="false" customHeight="false" outlineLevel="0" collapsed="false">
      <c r="A22" s="28" t="s">
        <v>439</v>
      </c>
      <c r="B22" s="29" t="s">
        <v>440</v>
      </c>
    </row>
    <row r="23" customFormat="false" ht="15" hidden="false" customHeight="false" outlineLevel="0" collapsed="false">
      <c r="A23" s="28" t="s">
        <v>441</v>
      </c>
      <c r="B23" s="29" t="s">
        <v>442</v>
      </c>
    </row>
    <row r="24" customFormat="false" ht="15" hidden="false" customHeight="false" outlineLevel="0" collapsed="false">
      <c r="A24" s="28" t="s">
        <v>443</v>
      </c>
      <c r="B24" s="29" t="s">
        <v>444</v>
      </c>
    </row>
    <row r="25" customFormat="false" ht="15" hidden="false" customHeight="false" outlineLevel="0" collapsed="false">
      <c r="A25" s="28" t="s">
        <v>445</v>
      </c>
      <c r="B25" s="29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2026-10-05T23:37:22Z</dcterms:created>
  <dc:creator>openpyxl</dc:creator>
  <dc:description/>
  <dc:language>en-US</dc:language>
  <cp:lastModifiedBy/>
  <dcterms:modified xsi:type="dcterms:W3CDTF">2026-10-05T23:37:22Z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